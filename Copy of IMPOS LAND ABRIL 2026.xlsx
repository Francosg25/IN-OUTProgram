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X:\Logistica Compartida\Compliance SR\"/>
    </mc:Choice>
  </mc:AlternateContent>
  <xr:revisionPtr revIDLastSave="0" documentId="8_{B1108723-F55F-41BD-B191-633697362DCD}" xr6:coauthVersionLast="47" xr6:coauthVersionMax="47" xr10:uidLastSave="{00000000-0000-0000-0000-000000000000}"/>
  <bookViews>
    <workbookView xWindow="-110" yWindow="-110" windowWidth="19420" windowHeight="10300" activeTab="2" xr2:uid="{5661B632-CC0E-456E-9684-A8D76509530C}"/>
  </bookViews>
  <sheets>
    <sheet name="Sheet2" sheetId="2" r:id="rId1"/>
    <sheet name="Sheet1" sheetId="1" r:id="rId2"/>
    <sheet name="VAO" sheetId="3" r:id="rId3"/>
  </sheets>
  <externalReferences>
    <externalReference r:id="rId4"/>
  </externalReferences>
  <definedNames>
    <definedName name="_xlnm._FilterDatabase" localSheetId="1" hidden="1">Sheet1!$A$1:$BG$135</definedName>
    <definedName name="_xlnm._FilterDatabase" localSheetId="2" hidden="1">VAO!$A$3:$I$107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4" i="3"/>
  <c r="I4" i="3" s="1"/>
  <c r="G103" i="3"/>
  <c r="G92" i="3"/>
  <c r="G91" i="3"/>
  <c r="G90" i="3"/>
  <c r="G89" i="3"/>
  <c r="G88" i="3"/>
  <c r="G87" i="3"/>
  <c r="G86" i="3"/>
  <c r="G85" i="3"/>
  <c r="G84" i="3"/>
  <c r="G83" i="3"/>
  <c r="G43" i="3"/>
  <c r="G41" i="3"/>
  <c r="G33" i="3"/>
  <c r="G32" i="3"/>
  <c r="G31" i="3"/>
  <c r="G30" i="3"/>
  <c r="G29" i="3"/>
  <c r="G28" i="3"/>
  <c r="G27" i="3"/>
  <c r="G26" i="3"/>
  <c r="G25" i="3"/>
  <c r="G24" i="3"/>
  <c r="G16" i="3"/>
  <c r="G15" i="3"/>
  <c r="G14" i="3"/>
  <c r="G13" i="3"/>
  <c r="G12" i="3"/>
  <c r="G11" i="3"/>
  <c r="G10" i="3"/>
  <c r="G5" i="3"/>
  <c r="G4" i="3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4" i="2"/>
  <c r="M4" i="3" l="1" a="1"/>
  <c r="M4" i="3" l="1"/>
  <c r="P8" i="3"/>
  <c r="Q8" i="3" s="1"/>
  <c r="P10" i="3"/>
  <c r="P11" i="3"/>
  <c r="Q11" i="3" s="1"/>
  <c r="Q10" i="3"/>
  <c r="P6" i="3"/>
  <c r="Q6" i="3" s="1"/>
  <c r="O7" i="3"/>
  <c r="P7" i="3" s="1"/>
  <c r="Q7" i="3" s="1"/>
  <c r="O11" i="3"/>
  <c r="O8" i="3"/>
  <c r="O9" i="3"/>
  <c r="P9" i="3" s="1"/>
  <c r="Q9" i="3" s="1"/>
  <c r="O10" i="3"/>
  <c r="O6" i="3"/>
  <c r="R9" i="3" l="1"/>
  <c r="R6" i="3"/>
  <c r="R11" i="3"/>
  <c r="R7" i="3"/>
  <c r="R10" i="3"/>
  <c r="R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<sst xmlns="http://schemas.openxmlformats.org/spreadsheetml/2006/main" count="6276" uniqueCount="752">
  <si>
    <t>Caja</t>
  </si>
  <si>
    <t>% uso</t>
  </si>
  <si>
    <t>Transporte</t>
  </si>
  <si>
    <t>Linea Caja</t>
  </si>
  <si>
    <t>Transfer</t>
  </si>
  <si>
    <t>Fecha Ent. Doc</t>
  </si>
  <si>
    <t>Hora Ent. Doc</t>
  </si>
  <si>
    <t>Fecha Not. Transfer</t>
  </si>
  <si>
    <t>Hora Not. Transfer</t>
  </si>
  <si>
    <t>Fecha Arr. Transfer</t>
  </si>
  <si>
    <t>Hora Arr. Transfer</t>
  </si>
  <si>
    <t>Fecha Salida Transfer</t>
  </si>
  <si>
    <t>Hora Salida Transfer</t>
  </si>
  <si>
    <t>Fecha Cruce</t>
  </si>
  <si>
    <t>Hora Cruce</t>
  </si>
  <si>
    <t>Rec. Aduanero</t>
  </si>
  <si>
    <t>Hora Rojo</t>
  </si>
  <si>
    <t>Hora Lib.Rojo</t>
  </si>
  <si>
    <t>TSR</t>
  </si>
  <si>
    <t>Nombre Cliente</t>
  </si>
  <si>
    <t>Codigo Cliente</t>
  </si>
  <si>
    <t>No. Planta</t>
  </si>
  <si>
    <t>Nombre planta</t>
  </si>
  <si>
    <t>Trafico</t>
  </si>
  <si>
    <t>Pedimento</t>
  </si>
  <si>
    <t>Remesa</t>
  </si>
  <si>
    <t>Clave</t>
  </si>
  <si>
    <t>Aduana</t>
  </si>
  <si>
    <t>Patente</t>
  </si>
  <si>
    <t>Carga Previa</t>
  </si>
  <si>
    <t>Fecha Car. Previa</t>
  </si>
  <si>
    <t>Hora Car. Previa</t>
  </si>
  <si>
    <t>Bultos</t>
  </si>
  <si>
    <t>Candados</t>
  </si>
  <si>
    <t>Ref. Dicex</t>
  </si>
  <si>
    <t>Fecha Recibo</t>
  </si>
  <si>
    <t>Factura</t>
  </si>
  <si>
    <t>Fecha Factura</t>
  </si>
  <si>
    <t>Importe</t>
  </si>
  <si>
    <t>Orden de Compra</t>
  </si>
  <si>
    <t>COVE</t>
  </si>
  <si>
    <t>Proveedor</t>
  </si>
  <si>
    <t>Domicilio</t>
  </si>
  <si>
    <t>Guia Pack.</t>
  </si>
  <si>
    <t>Codigo Suc.</t>
  </si>
  <si>
    <t>Peso Bruto (Kgs)</t>
  </si>
  <si>
    <t>Peso Bruto (Lbs)</t>
  </si>
  <si>
    <t>Orden</t>
  </si>
  <si>
    <t>No. Parte Prov.</t>
  </si>
  <si>
    <t>No. Pte. Impo</t>
  </si>
  <si>
    <t>Fraccion</t>
  </si>
  <si>
    <t>Descripcion Parte Prov.</t>
  </si>
  <si>
    <t>Cantidad</t>
  </si>
  <si>
    <t>Monto Partida</t>
  </si>
  <si>
    <t>Rout</t>
  </si>
  <si>
    <t>Doc Scan</t>
  </si>
  <si>
    <t>Caja Scan</t>
  </si>
  <si>
    <t>Ejecutivo</t>
  </si>
  <si>
    <t>5324104</t>
  </si>
  <si>
    <t>0</t>
  </si>
  <si>
    <t>TRANSFER REAL CARRIERS</t>
  </si>
  <si>
    <t>3LCB</t>
  </si>
  <si>
    <t>09/04/2026</t>
  </si>
  <si>
    <t>00:00:00</t>
  </si>
  <si>
    <t>STDS9-01163</t>
  </si>
  <si>
    <t>JOHNSON ELECTRIC GROUP MEXICO S DE RL DE CV</t>
  </si>
  <si>
    <t>01</t>
  </si>
  <si>
    <t>JEGIN-42396</t>
  </si>
  <si>
    <t>6089046</t>
  </si>
  <si>
    <t>5</t>
  </si>
  <si>
    <t>IN</t>
  </si>
  <si>
    <t>NUEVO LAREDO, TAMAULIPAS.</t>
  </si>
  <si>
    <t>3483</t>
  </si>
  <si>
    <t>1</t>
  </si>
  <si>
    <t>BDE230489286,</t>
  </si>
  <si>
    <t>TDS26-00225</t>
  </si>
  <si>
    <t>057895</t>
  </si>
  <si>
    <t>26/03/2026</t>
  </si>
  <si>
    <t>$1,854.39</t>
  </si>
  <si>
    <t>COVE2681KLME6</t>
  </si>
  <si>
    <t>NAGASE CHEMTEX AMERICA LLC</t>
  </si>
  <si>
    <t>100 INNOVATION COURT, DELAWARE OH, USA 43015</t>
  </si>
  <si>
    <t>109190900700</t>
  </si>
  <si>
    <t>79.74</t>
  </si>
  <si>
    <t>175.797</t>
  </si>
  <si>
    <t>0081-1000095</t>
  </si>
  <si>
    <t>3506919999</t>
  </si>
  <si>
    <t>ADHESIVO A BASE DE RESINAS EPOXICAS</t>
  </si>
  <si>
    <t>3</t>
  </si>
  <si>
    <t>1854.39</t>
  </si>
  <si>
    <t>JUAN NOLASCO</t>
  </si>
  <si>
    <t>2</t>
  </si>
  <si>
    <t>TDS26-00217</t>
  </si>
  <si>
    <t>057943</t>
  </si>
  <si>
    <t>30/03/2026</t>
  </si>
  <si>
    <t>COVE2681KIYR1</t>
  </si>
  <si>
    <t>109313150100</t>
  </si>
  <si>
    <t>8</t>
  </si>
  <si>
    <t>TDS26-00221</t>
  </si>
  <si>
    <t>700070560</t>
  </si>
  <si>
    <t>17/03/2026</t>
  </si>
  <si>
    <t>$6,140.00</t>
  </si>
  <si>
    <t>COVE2681KOCW5</t>
  </si>
  <si>
    <t>RUTRONIK ELECTRONICS WORLDWIDE</t>
  </si>
  <si>
    <t>2745 3111 N. UNIVERSITY DRIVE, PLANO TX, USA 33065</t>
  </si>
  <si>
    <t>95966923</t>
  </si>
  <si>
    <t>43.091</t>
  </si>
  <si>
    <t>95</t>
  </si>
  <si>
    <t>1616-5TP1037</t>
  </si>
  <si>
    <t>8532240400</t>
  </si>
  <si>
    <t>CAPACITOR DE CERAMICACAPACITOR DE CERAMICA</t>
  </si>
  <si>
    <t>20000</t>
  </si>
  <si>
    <t>6140</t>
  </si>
  <si>
    <t>9</t>
  </si>
  <si>
    <t>TDS26-00230</t>
  </si>
  <si>
    <t>10/04/2026</t>
  </si>
  <si>
    <t>7034263922</t>
  </si>
  <si>
    <t>01/04/2026</t>
  </si>
  <si>
    <t>$140.20</t>
  </si>
  <si>
    <t>COVE2681KQ0C2</t>
  </si>
  <si>
    <t>APPLIED INDUSTRIAL TECHNOLOGIES</t>
  </si>
  <si>
    <t>S/N 2730 KEENEN AVE, DAYTON OHIO, USA 45414</t>
  </si>
  <si>
    <t>870170200600</t>
  </si>
  <si>
    <t>9.979</t>
  </si>
  <si>
    <t>22</t>
  </si>
  <si>
    <t>1428-10C0001</t>
  </si>
  <si>
    <t>3926901400</t>
  </si>
  <si>
    <t>CINCHO DE PLASTICO</t>
  </si>
  <si>
    <t>140.2</t>
  </si>
  <si>
    <t>TDS26-00220</t>
  </si>
  <si>
    <t>CD99125556</t>
  </si>
  <si>
    <t>$17,982.00</t>
  </si>
  <si>
    <t>COVE2681KK2N8</t>
  </si>
  <si>
    <t>COMPAL USA</t>
  </si>
  <si>
    <t>1 TECHNOLOGY WAY, LOGANSPORT IN, USA 46947</t>
  </si>
  <si>
    <t>108870290705</t>
  </si>
  <si>
    <t>90.718</t>
  </si>
  <si>
    <t>200</t>
  </si>
  <si>
    <t>1438-EQH0055</t>
  </si>
  <si>
    <t>8534000499</t>
  </si>
  <si>
    <t>CIRCUITO IMPRESO</t>
  </si>
  <si>
    <t>8100</t>
  </si>
  <si>
    <t>17982</t>
  </si>
  <si>
    <t>4</t>
  </si>
  <si>
    <t>TDS26-00222</t>
  </si>
  <si>
    <t>JEMEX492026</t>
  </si>
  <si>
    <t>$1,250.00</t>
  </si>
  <si>
    <t>COVE2681KL311</t>
  </si>
  <si>
    <t>DETROIT THERMAL SYSTEMS</t>
  </si>
  <si>
    <t>6505 COGSWELL ST., ROMULUS MI, USA 48174</t>
  </si>
  <si>
    <t>321-3348</t>
  </si>
  <si>
    <t>181.437</t>
  </si>
  <si>
    <t>400</t>
  </si>
  <si>
    <t>TAPA PLASTICA</t>
  </si>
  <si>
    <t>3923500100</t>
  </si>
  <si>
    <t>25</t>
  </si>
  <si>
    <t>CHAROLA PLASTICA</t>
  </si>
  <si>
    <t>3923100301</t>
  </si>
  <si>
    <t>240</t>
  </si>
  <si>
    <t>1200</t>
  </si>
  <si>
    <t>BASE PLASTICA</t>
  </si>
  <si>
    <t>3923909900</t>
  </si>
  <si>
    <t>6</t>
  </si>
  <si>
    <t>TDS26-00202</t>
  </si>
  <si>
    <t>L00002404836</t>
  </si>
  <si>
    <t>14/03/2026</t>
  </si>
  <si>
    <t>$2,233.44</t>
  </si>
  <si>
    <t>COVE2681KM6J8</t>
  </si>
  <si>
    <t>SMALLEY STEEL RING COMPANY</t>
  </si>
  <si>
    <t>555 OAKWOOD ROAD, LAKE ZURICH IL, USA 60047</t>
  </si>
  <si>
    <t>399612952495,495809,495808</t>
  </si>
  <si>
    <t>14.19</t>
  </si>
  <si>
    <t>31.284</t>
  </si>
  <si>
    <t>1204-5YY0012</t>
  </si>
  <si>
    <t>7318210200</t>
  </si>
  <si>
    <t>ARANDELA DE MUELLE</t>
  </si>
  <si>
    <t>39600</t>
  </si>
  <si>
    <t>2233.44</t>
  </si>
  <si>
    <t>7</t>
  </si>
  <si>
    <t>TDS26-00192</t>
  </si>
  <si>
    <t>L00002406237</t>
  </si>
  <si>
    <t>20/03/2026</t>
  </si>
  <si>
    <t>COVE2681KN9G7</t>
  </si>
  <si>
    <t>399800819705 ,496555,496554</t>
  </si>
  <si>
    <t>JEGIN-42359</t>
  </si>
  <si>
    <t>6089047</t>
  </si>
  <si>
    <t>TDS26-00164</t>
  </si>
  <si>
    <t>12/03/2026</t>
  </si>
  <si>
    <t>00018245</t>
  </si>
  <si>
    <t>03/03/2026</t>
  </si>
  <si>
    <t>$11.50</t>
  </si>
  <si>
    <t>COVE2681KQZS8</t>
  </si>
  <si>
    <t>MAGNEFORCE INC.</t>
  </si>
  <si>
    <t>155 SHAFFER DR. N.E., WARREN OH, USA 44484</t>
  </si>
  <si>
    <t>1Z5455240396960013 ,494906 -</t>
  </si>
  <si>
    <t>1.361</t>
  </si>
  <si>
    <t>32560</t>
  </si>
  <si>
    <t>9032900299</t>
  </si>
  <si>
    <t>PARTE PARA MODULO DE CONTROL</t>
  </si>
  <si>
    <t>11.5</t>
  </si>
  <si>
    <t>P8520</t>
  </si>
  <si>
    <t>PAN AMERICAN EXPRESS INC.</t>
  </si>
  <si>
    <t>PANAMERICA</t>
  </si>
  <si>
    <t>06/04/2026</t>
  </si>
  <si>
    <t>STDS9-01162</t>
  </si>
  <si>
    <t>BDE230489281,</t>
  </si>
  <si>
    <t>TDS26-00215</t>
  </si>
  <si>
    <t>CD99125496</t>
  </si>
  <si>
    <t>$27,552.96</t>
  </si>
  <si>
    <t>299.371</t>
  </si>
  <si>
    <t>660</t>
  </si>
  <si>
    <t>1438-EQM0074</t>
  </si>
  <si>
    <t>4320</t>
  </si>
  <si>
    <t>9184.32</t>
  </si>
  <si>
    <t>17</t>
  </si>
  <si>
    <t>TDS26-00214</t>
  </si>
  <si>
    <t>MXO-26900</t>
  </si>
  <si>
    <t>$1,870.00</t>
  </si>
  <si>
    <t>SAIA BURGESS AUTOMOTIVE ACTUATORS LLC</t>
  </si>
  <si>
    <t>755 BILL JONES INDUSTRIAL DR, SPRINGFIELD TN, USA 37172</t>
  </si>
  <si>
    <t>M5017091</t>
  </si>
  <si>
    <t>749.7</t>
  </si>
  <si>
    <t>1652.806</t>
  </si>
  <si>
    <t>85</t>
  </si>
  <si>
    <t>CAJAS PLASTICAS</t>
  </si>
  <si>
    <t>CAJAS PLASTICA</t>
  </si>
  <si>
    <t>340</t>
  </si>
  <si>
    <t>1700</t>
  </si>
  <si>
    <t>TDS26-00213</t>
  </si>
  <si>
    <t>NY630480</t>
  </si>
  <si>
    <t>$8,121.60</t>
  </si>
  <si>
    <t>MABUCHI MOTOR AMERICA CORP</t>
  </si>
  <si>
    <t>3001 WEST BIG BEAVER ROAD, TROY MI, USA 48084</t>
  </si>
  <si>
    <t>139.706</t>
  </si>
  <si>
    <t>308</t>
  </si>
  <si>
    <t>1999-EQH0003</t>
  </si>
  <si>
    <t>8501101004</t>
  </si>
  <si>
    <t>MOTOR DE CORRIENTE DIRECTA</t>
  </si>
  <si>
    <t>8640</t>
  </si>
  <si>
    <t>8121.6</t>
  </si>
  <si>
    <t>14-BK-9L</t>
  </si>
  <si>
    <t>JOGS TRANSPORTES</t>
  </si>
  <si>
    <t>GSJO</t>
  </si>
  <si>
    <t>16/04/2026</t>
  </si>
  <si>
    <t>STDS9-01164</t>
  </si>
  <si>
    <t>JEGIN-42532</t>
  </si>
  <si>
    <t>6089049</t>
  </si>
  <si>
    <t>BDE230489282,</t>
  </si>
  <si>
    <t>TDS26-00245</t>
  </si>
  <si>
    <t>CD99125718</t>
  </si>
  <si>
    <t>14/04/2026</t>
  </si>
  <si>
    <t>$12,371.40</t>
  </si>
  <si>
    <t>2604004104</t>
  </si>
  <si>
    <t>51.256</t>
  </si>
  <si>
    <t>113</t>
  </si>
  <si>
    <t>1438-EQH0053</t>
  </si>
  <si>
    <t>2700</t>
  </si>
  <si>
    <t>5856.3</t>
  </si>
  <si>
    <t>1438-EQH0044</t>
  </si>
  <si>
    <t>6515.1</t>
  </si>
  <si>
    <t>CB-032</t>
  </si>
  <si>
    <t>LISAS TRANSPORT</t>
  </si>
  <si>
    <t>LSSO</t>
  </si>
  <si>
    <t>17/04/2026</t>
  </si>
  <si>
    <t>STDS9-01165</t>
  </si>
  <si>
    <t>BDE230489287,</t>
  </si>
  <si>
    <t>TDS26-00232</t>
  </si>
  <si>
    <t>057966</t>
  </si>
  <si>
    <t>$518.80</t>
  </si>
  <si>
    <t>COVE2681ZNNT3</t>
  </si>
  <si>
    <t>108757687904</t>
  </si>
  <si>
    <t>37.479</t>
  </si>
  <si>
    <t>0081-1000096</t>
  </si>
  <si>
    <t>7244B</t>
  </si>
  <si>
    <t>518.8</t>
  </si>
  <si>
    <t>057986</t>
  </si>
  <si>
    <t>07/04/2026</t>
  </si>
  <si>
    <t>$2,472.52</t>
  </si>
  <si>
    <t>106.32</t>
  </si>
  <si>
    <t>234.395</t>
  </si>
  <si>
    <t>2472.52</t>
  </si>
  <si>
    <t>057987</t>
  </si>
  <si>
    <t>$3,115.25</t>
  </si>
  <si>
    <t>0081-1010033</t>
  </si>
  <si>
    <t>3115.25</t>
  </si>
  <si>
    <t>10</t>
  </si>
  <si>
    <t>TDS26-00198</t>
  </si>
  <si>
    <t>111119289</t>
  </si>
  <si>
    <t>16/03/2026</t>
  </si>
  <si>
    <t>$4,287.00</t>
  </si>
  <si>
    <t>COVE2681ZU233</t>
  </si>
  <si>
    <t>ELKEM SILICONES USA</t>
  </si>
  <si>
    <t>7979 PARK PLACE ROAD, YORK SC, USA 29745</t>
  </si>
  <si>
    <t>77125565190-2</t>
  </si>
  <si>
    <t>100</t>
  </si>
  <si>
    <t>220.462</t>
  </si>
  <si>
    <t>0081-1000098</t>
  </si>
  <si>
    <t>3214100100</t>
  </si>
  <si>
    <t>MASTIQUE A BASE DE PLASTICO</t>
  </si>
  <si>
    <t>4287</t>
  </si>
  <si>
    <t>TDS26-00187</t>
  </si>
  <si>
    <t>19/03/2026</t>
  </si>
  <si>
    <t>2026-73454-00</t>
  </si>
  <si>
    <t>$1,106.10</t>
  </si>
  <si>
    <t>COVE2681ZT1C7</t>
  </si>
  <si>
    <t>ULTRACHEM INC</t>
  </si>
  <si>
    <t>900 CENTERPOINT BLVD, NEW CASTLE DE, USA 19720</t>
  </si>
  <si>
    <t>108715967803</t>
  </si>
  <si>
    <t>95.28</t>
  </si>
  <si>
    <t>210.056</t>
  </si>
  <si>
    <t>RMOLOM350</t>
  </si>
  <si>
    <t>3403999900</t>
  </si>
  <si>
    <t>ACEITE LUBRICANTE SINTETICO</t>
  </si>
  <si>
    <t>1106.1</t>
  </si>
  <si>
    <t>TDS26-00209</t>
  </si>
  <si>
    <t>26018193</t>
  </si>
  <si>
    <t>$6,180.00</t>
  </si>
  <si>
    <t>COVE2681ZS8W6</t>
  </si>
  <si>
    <t>ENTEC POLYMERS</t>
  </si>
  <si>
    <t>1900 SUMMIT TOWER BLVD, ORLANDO FLORIDA, USA 32810</t>
  </si>
  <si>
    <t>I879347691</t>
  </si>
  <si>
    <t>2000</t>
  </si>
  <si>
    <t>4409.245</t>
  </si>
  <si>
    <t>0070-M010001</t>
  </si>
  <si>
    <t>3907100502</t>
  </si>
  <si>
    <t>COPOLIMEROS DE TRIOXANO EN PELLETS</t>
  </si>
  <si>
    <t>6180</t>
  </si>
  <si>
    <t>26021073</t>
  </si>
  <si>
    <t>$14,760.00</t>
  </si>
  <si>
    <t>3000</t>
  </si>
  <si>
    <t>6613.868</t>
  </si>
  <si>
    <t>0070-1100005-W</t>
  </si>
  <si>
    <t>14760</t>
  </si>
  <si>
    <t>11</t>
  </si>
  <si>
    <t>TDS26-00238</t>
  </si>
  <si>
    <t>279701</t>
  </si>
  <si>
    <t>03/04/2026</t>
  </si>
  <si>
    <t>COVE2681ZUUF2</t>
  </si>
  <si>
    <t>380212773580 ,497076,497077</t>
  </si>
  <si>
    <t>TDS26-00247</t>
  </si>
  <si>
    <t>42473-00</t>
  </si>
  <si>
    <t>$8,606.40</t>
  </si>
  <si>
    <t>COVE2681ZR3D7</t>
  </si>
  <si>
    <t>CONSOLIDATED ELECTRONIC WIRE &amp; CABLE INC.</t>
  </si>
  <si>
    <t>11044 KING STREET, FRANKLIN PARK IL, USA 60131</t>
  </si>
  <si>
    <t>028-6088923</t>
  </si>
  <si>
    <t>498.952</t>
  </si>
  <si>
    <t>1100</t>
  </si>
  <si>
    <t>0061-V150018-N</t>
  </si>
  <si>
    <t>8544499999</t>
  </si>
  <si>
    <t>CABLE SIN CONEXION</t>
  </si>
  <si>
    <t>40000</t>
  </si>
  <si>
    <t>3129.6</t>
  </si>
  <si>
    <t>0061-V150018-R</t>
  </si>
  <si>
    <t>0061-V150018-W</t>
  </si>
  <si>
    <t>30000</t>
  </si>
  <si>
    <t>2347.2</t>
  </si>
  <si>
    <t>TDS26-00235</t>
  </si>
  <si>
    <t>6100035113</t>
  </si>
  <si>
    <t>23/03/2026</t>
  </si>
  <si>
    <t>$9,540.00</t>
  </si>
  <si>
    <t>COVE2681ZOG05</t>
  </si>
  <si>
    <t>W.L. GORE AND ASSOCIATES INC</t>
  </si>
  <si>
    <t>401 AIRPORT ROAD, ELKTON MD, USA 21921</t>
  </si>
  <si>
    <t>513621523882 ,497156</t>
  </si>
  <si>
    <t>21.42</t>
  </si>
  <si>
    <t>47.223</t>
  </si>
  <si>
    <t>1474-5YY0005</t>
  </si>
  <si>
    <t>4016930499</t>
  </si>
  <si>
    <t>JUNTA</t>
  </si>
  <si>
    <t>9540</t>
  </si>
  <si>
    <t>TDS26-00246</t>
  </si>
  <si>
    <t>CD99125722</t>
  </si>
  <si>
    <t>$9,396.00</t>
  </si>
  <si>
    <t>COVE2681ZQDF1</t>
  </si>
  <si>
    <t>118-0244401</t>
  </si>
  <si>
    <t>136.078</t>
  </si>
  <si>
    <t>300</t>
  </si>
  <si>
    <t>1438-EQH0040</t>
  </si>
  <si>
    <t>TARJETA DE CIRCUITO IMPRESO</t>
  </si>
  <si>
    <t>9396</t>
  </si>
  <si>
    <t>16</t>
  </si>
  <si>
    <t>TDS26-00248</t>
  </si>
  <si>
    <t>MXO-26909</t>
  </si>
  <si>
    <t>$1,760.00</t>
  </si>
  <si>
    <t>COVE2681ZRLU8</t>
  </si>
  <si>
    <t>1931742</t>
  </si>
  <si>
    <t>705.6</t>
  </si>
  <si>
    <t>1555.582</t>
  </si>
  <si>
    <t>80</t>
  </si>
  <si>
    <t>320</t>
  </si>
  <si>
    <t>1600</t>
  </si>
  <si>
    <t>TDS26-00242</t>
  </si>
  <si>
    <t>NY640127</t>
  </si>
  <si>
    <t>13/04/2026</t>
  </si>
  <si>
    <t>COVE2681ZPIT1</t>
  </si>
  <si>
    <t>30.844</t>
  </si>
  <si>
    <t>68</t>
  </si>
  <si>
    <t>JEGIN-42533</t>
  </si>
  <si>
    <t>6089050</t>
  </si>
  <si>
    <t>TDS26-00149</t>
  </si>
  <si>
    <t>04/03/2026</t>
  </si>
  <si>
    <t>36258061</t>
  </si>
  <si>
    <t>$534.60</t>
  </si>
  <si>
    <t>RADWELL INTERNATIONAL LLC</t>
  </si>
  <si>
    <t>1 MILLENIUM DRIVE, WILLINGBORO NEW JERSEY, USA 08046</t>
  </si>
  <si>
    <t>417366879986 ,494432-</t>
  </si>
  <si>
    <t>3.629</t>
  </si>
  <si>
    <t>MBDLT25SF</t>
  </si>
  <si>
    <t>8504401300</t>
  </si>
  <si>
    <t>CONTROLADOR DE VELOCIDAD PARA MOTOR</t>
  </si>
  <si>
    <t>534.6</t>
  </si>
  <si>
    <t>TDS26-00180</t>
  </si>
  <si>
    <t>36278395</t>
  </si>
  <si>
    <t>05/03/2026</t>
  </si>
  <si>
    <t>$536.80</t>
  </si>
  <si>
    <t>417366908438,495350</t>
  </si>
  <si>
    <t>D02GG40V35</t>
  </si>
  <si>
    <t>8536100300</t>
  </si>
  <si>
    <t>FUSIBLES</t>
  </si>
  <si>
    <t>536.8</t>
  </si>
  <si>
    <t>TDS26-00239</t>
  </si>
  <si>
    <t>36346481</t>
  </si>
  <si>
    <t>$195.58</t>
  </si>
  <si>
    <t>519018787108 ,497075</t>
  </si>
  <si>
    <t>57CM23-BZ</t>
  </si>
  <si>
    <t>8501310300</t>
  </si>
  <si>
    <t>SERVOMOTOR</t>
  </si>
  <si>
    <t>195.58</t>
  </si>
  <si>
    <t>TDS26-00237</t>
  </si>
  <si>
    <t>36367001</t>
  </si>
  <si>
    <t>$76.21</t>
  </si>
  <si>
    <t>519018813040 ,497099</t>
  </si>
  <si>
    <t>AE1/AP-4F</t>
  </si>
  <si>
    <t>8536509999</t>
  </si>
  <si>
    <t>SENSOR DE PROXIMIDAD</t>
  </si>
  <si>
    <t>76.21</t>
  </si>
  <si>
    <t>TDS26-00251</t>
  </si>
  <si>
    <t>62955465</t>
  </si>
  <si>
    <t>$47.80</t>
  </si>
  <si>
    <t>MC MASTER-CARR SUPPLY COMPANY</t>
  </si>
  <si>
    <t>9630 NORWALK BLVD, SANTA FE SPRING CA, USA 90670</t>
  </si>
  <si>
    <t>512609708440</t>
  </si>
  <si>
    <t>2.205</t>
  </si>
  <si>
    <t>90025K408</t>
  </si>
  <si>
    <t>JUNTA DE CAUCHO</t>
  </si>
  <si>
    <t>40</t>
  </si>
  <si>
    <t>47.8</t>
  </si>
  <si>
    <t>CB-045</t>
  </si>
  <si>
    <t>20/04/2026</t>
  </si>
  <si>
    <t>STDS9-01166</t>
  </si>
  <si>
    <t>JEGIN-42707</t>
  </si>
  <si>
    <t>6089052</t>
  </si>
  <si>
    <t>41</t>
  </si>
  <si>
    <t>BDE230489283,</t>
  </si>
  <si>
    <t>TDS26-00166</t>
  </si>
  <si>
    <t>1GVL-TKJC-WD11</t>
  </si>
  <si>
    <t>$2,954.15</t>
  </si>
  <si>
    <t>COVE26822O2M4</t>
  </si>
  <si>
    <t>JOHNSON ELECTRIC NORTH AMERICA INC</t>
  </si>
  <si>
    <t>47660 HALYARD DRIVE, PLYMOUTH MICHIGAN, USA 48170</t>
  </si>
  <si>
    <t>111-8495533-9976235</t>
  </si>
  <si>
    <t>53.524</t>
  </si>
  <si>
    <t>118</t>
  </si>
  <si>
    <t>VILROS RASPBERRY PI 4 8GB BASIC STARTER KIT WITH FAN COOLED HEAVY DUTY ALUMINUM ALLOY CASE (BLACK CA</t>
  </si>
  <si>
    <t>8471500100</t>
  </si>
  <si>
    <t>UNIDAD DE PROCESO</t>
  </si>
  <si>
    <t>674.95</t>
  </si>
  <si>
    <t>HPMN 24V 10A 240W POWER SUPPLY AC/DC ADAPTER UNIVERSAL REGULATED SWITCHING AC 110-220V TO DC 24 VOLT</t>
  </si>
  <si>
    <t>8504409900</t>
  </si>
  <si>
    <t>CONVRTIDOR ESTATICO</t>
  </si>
  <si>
    <t>15.9</t>
  </si>
  <si>
    <t>VILROS RASPBERRY PI 4 COMPLETE STARTER KIT- INCLUDES RASPBERRY PI 4 BOARD, FAN COOLED CASE, 64GB PRE</t>
  </si>
  <si>
    <t>8534000402</t>
  </si>
  <si>
    <t>CIRCUITO MULTICAPAS</t>
  </si>
  <si>
    <t>619.96</t>
  </si>
  <si>
    <t>UXCELL 2MM DIA TEMPERATURE SENSOR PROBE TESTER K-TYPE THERMOCOUPLE WIRE CABLE 32M L</t>
  </si>
  <si>
    <t>9032899900</t>
  </si>
  <si>
    <t>TERMOPAR</t>
  </si>
  <si>
    <t>22.98</t>
  </si>
  <si>
    <t>ARDUCAM MULTI CAMERA ADAPTER MODULE V2.2 FOR RASPBERRY PI 5, 4B, COMPATIBLE WITH RASPERRY PI CAMERA</t>
  </si>
  <si>
    <t>8517621799</t>
  </si>
  <si>
    <t>APARATO DE TRANSMISION</t>
  </si>
  <si>
    <t>49</t>
  </si>
  <si>
    <t>ARDUCAM FOR RASPBERRY PI HQ CAMERA MODULE,12.3MP IMX477 RASPBERRY PI CAMERA FOR RASPBERRY PI5/4B/3B+</t>
  </si>
  <si>
    <t>8529909991</t>
  </si>
  <si>
    <t>PARTE PARA CAMARA</t>
  </si>
  <si>
    <t>51.99</t>
  </si>
  <si>
    <t>ARDUCAM 2.8-12MM VARIFOCAL C-MOUNT LENS FOR RASPBERRY PI HQ CAMERA, WITH C-CS ADAPTER, INDUSTRIAL TE</t>
  </si>
  <si>
    <t>64.34</t>
  </si>
  <si>
    <t>ARDUCAM IMX477 PI HQ CAMERA FOR RASPBERRY PI 5, COMES WITH A 1/2.3 6MM FOCAL LENGTH CS LENS, WIDELY</t>
  </si>
  <si>
    <t>67.99</t>
  </si>
  <si>
    <t>135.98</t>
  </si>
  <si>
    <t>12</t>
  </si>
  <si>
    <t>271.96</t>
  </si>
  <si>
    <t>13</t>
  </si>
  <si>
    <t>3PCS 15 PIN 30CM 50CM 100CM FFC RIBBON FLEXIBLE FLAT CABLE FOR CAMERA PI CAMERA CABLE LONG EXTENSION</t>
  </si>
  <si>
    <t>8544429904</t>
  </si>
  <si>
    <t>CABLE DE COBRE PROVISTO DE PIEZAS DE CONEXION</t>
  </si>
  <si>
    <t>7.79</t>
  </si>
  <si>
    <t>14</t>
  </si>
  <si>
    <t>SEEED STUDIO CORAL USB ACCELERATOR ACCELERATOR COPROCESSOR FOR RASPBERRY PI AND OTHER EMBEDDED SINGL</t>
  </si>
  <si>
    <t>8471909900</t>
  </si>
  <si>
    <t>UNIDAD EXTERNA DE PROCESAMIENTO DE DATOS</t>
  </si>
  <si>
    <t>82.99</t>
  </si>
  <si>
    <t>15</t>
  </si>
  <si>
    <t>580.93</t>
  </si>
  <si>
    <t>ZOWIETEK 5-50MM 12MP C-MOUNT LOW DISTORTION ZOOM LENS, WITH C-CS ADAPTER, FOR ZOWIECAM POV CS/C MOUN</t>
  </si>
  <si>
    <t>9002110100</t>
  </si>
  <si>
    <t>LENTES PARA CAMARA</t>
  </si>
  <si>
    <t>95.06</t>
  </si>
  <si>
    <t>ARDUCAM M12 LENS SET FOR USB CAMERA(1/2.7 1/2.8 1/2.9), TELEPHOTO, MACRO, WIDE ANGLE, FISHEYE LENS K</t>
  </si>
  <si>
    <t>98.99</t>
  </si>
  <si>
    <t>1MTM-PXM1-6JLW</t>
  </si>
  <si>
    <t>28/03/2026</t>
  </si>
  <si>
    <t>$350.42</t>
  </si>
  <si>
    <t>FFR-FLAT6.6</t>
  </si>
  <si>
    <t>CABLE</t>
  </si>
  <si>
    <t>4.49</t>
  </si>
  <si>
    <t>103.98</t>
  </si>
  <si>
    <t>1NKC-XL3T-GNRW</t>
  </si>
  <si>
    <t>21/03/2026</t>
  </si>
  <si>
    <t>$3,891.35</t>
  </si>
  <si>
    <t>154.99</t>
  </si>
  <si>
    <t>8.98</t>
  </si>
  <si>
    <t>22.45</t>
  </si>
  <si>
    <t>26.94</t>
  </si>
  <si>
    <t>392</t>
  </si>
  <si>
    <t>ARDU6-25</t>
  </si>
  <si>
    <t>LENTE PARA CAMARA</t>
  </si>
  <si>
    <t>445.41</t>
  </si>
  <si>
    <t>467.91</t>
  </si>
  <si>
    <t>155.97</t>
  </si>
  <si>
    <t>311.94</t>
  </si>
  <si>
    <t>18</t>
  </si>
  <si>
    <t>19</t>
  </si>
  <si>
    <t>193.02</t>
  </si>
  <si>
    <t>20</t>
  </si>
  <si>
    <t>21</t>
  </si>
  <si>
    <t>62.32</t>
  </si>
  <si>
    <t>23</t>
  </si>
  <si>
    <t>MOKOSE 5-12MM CCTV CAMERA LENS 6MP PIXELS 1/1.8 ZOOM C-MOUNT INDUSTRIAL CAMERA MANUAL LENS LOW DISTO</t>
  </si>
  <si>
    <t>78.5</t>
  </si>
  <si>
    <t>24</t>
  </si>
  <si>
    <t>380.24</t>
  </si>
  <si>
    <t>26</t>
  </si>
  <si>
    <t>1NNT-T7QR-14M1</t>
  </si>
  <si>
    <t>15/03/2026</t>
  </si>
  <si>
    <t>$1,818.16</t>
  </si>
  <si>
    <t>ARDU-CS.6-25</t>
  </si>
  <si>
    <t>JUEGO DE LENTES PARA CAMARA</t>
  </si>
  <si>
    <t>653.34</t>
  </si>
  <si>
    <t>134.99</t>
  </si>
  <si>
    <t>143.1</t>
  </si>
  <si>
    <t>GEEEKPI 7-INCH SCREEN FOR RASPBERRY PI, 1024X600 IPS LCD DISPLAY, HDMI PORTABLE MONITOR FOR PI 5/4B/</t>
  </si>
  <si>
    <t>8528520201</t>
  </si>
  <si>
    <t>MONITOR PARA COMPUTADORA</t>
  </si>
  <si>
    <t>393.2</t>
  </si>
  <si>
    <t>49.49</t>
  </si>
  <si>
    <t>165.98</t>
  </si>
  <si>
    <t>1VTT-3L6Y-C366</t>
  </si>
  <si>
    <t>10/03/2026</t>
  </si>
  <si>
    <t>$84.22</t>
  </si>
  <si>
    <t>39.32</t>
  </si>
  <si>
    <t>13.47</t>
  </si>
  <si>
    <t>17.96</t>
  </si>
  <si>
    <t>TDS26-00244</t>
  </si>
  <si>
    <t>20483199</t>
  </si>
  <si>
    <t>P8605</t>
  </si>
  <si>
    <t>21/04/2026</t>
  </si>
  <si>
    <t>STDS9-01167</t>
  </si>
  <si>
    <t>JEGAF-42709</t>
  </si>
  <si>
    <t>6089054</t>
  </si>
  <si>
    <t>AF</t>
  </si>
  <si>
    <t>BDE230489288,</t>
  </si>
  <si>
    <t>TDS26-00253</t>
  </si>
  <si>
    <t>50800043560</t>
  </si>
  <si>
    <t>$11,579.85</t>
  </si>
  <si>
    <t>T233805</t>
  </si>
  <si>
    <t>139313</t>
  </si>
  <si>
    <t>9031809999</t>
  </si>
  <si>
    <t>MAQUINA PARA MEDICION DE COORDENADAS DESENSAMBLADA CON ACCESORIOS PARA SU USO</t>
  </si>
  <si>
    <t>11579.85</t>
  </si>
  <si>
    <t>27-BK-1X</t>
  </si>
  <si>
    <t>22/04/2026</t>
  </si>
  <si>
    <t>STDS9-01168</t>
  </si>
  <si>
    <t>JEGIN-42743</t>
  </si>
  <si>
    <t>6082017</t>
  </si>
  <si>
    <t>COLOMBIA, COLOMBIA, NUEVO LEON.</t>
  </si>
  <si>
    <t>BDE230489284,</t>
  </si>
  <si>
    <t>TDS26-00254</t>
  </si>
  <si>
    <t>11871416-1</t>
  </si>
  <si>
    <t>$730.55</t>
  </si>
  <si>
    <t>KRAYDEN INC</t>
  </si>
  <si>
    <t>1491 WEST 124 TH AVENUE, WESTMINSTER CO, USA 80234</t>
  </si>
  <si>
    <t>471164304034,498065</t>
  </si>
  <si>
    <t>44.092</t>
  </si>
  <si>
    <t>RMEPGL001-1</t>
  </si>
  <si>
    <t>HT744908</t>
  </si>
  <si>
    <t>JGO DE ADHESIVO A BASE DE RESINA EPOXICA Y ENDURECEDOR</t>
  </si>
  <si>
    <t>730.55</t>
  </si>
  <si>
    <t>CB-022</t>
  </si>
  <si>
    <t>24/04/2026</t>
  </si>
  <si>
    <t>STDS9-01169</t>
  </si>
  <si>
    <t>BDE230489285,</t>
  </si>
  <si>
    <t>TDS26-00260</t>
  </si>
  <si>
    <t>058030</t>
  </si>
  <si>
    <t>087-2741843</t>
  </si>
  <si>
    <t>TDS26-00259</t>
  </si>
  <si>
    <t>058055</t>
  </si>
  <si>
    <t>0872741844</t>
  </si>
  <si>
    <t>TDS26-00233</t>
  </si>
  <si>
    <t>103489</t>
  </si>
  <si>
    <t>$17,280.00</t>
  </si>
  <si>
    <t>M. LIZEN MANUFACTURING CO.</t>
  </si>
  <si>
    <t>S/N 2625 FEDERAL SIGNAL DRIVE, UNIVERSITY PARK ILLINOIS , USA 60484</t>
  </si>
  <si>
    <t>709730136</t>
  </si>
  <si>
    <t>68.039</t>
  </si>
  <si>
    <t>150</t>
  </si>
  <si>
    <t>1410-EQH0109</t>
  </si>
  <si>
    <t>8536909999</t>
  </si>
  <si>
    <t>CONTACTOR PARA ESCOBILLA</t>
  </si>
  <si>
    <t>9000</t>
  </si>
  <si>
    <t>17280</t>
  </si>
  <si>
    <t>TDS26-00223</t>
  </si>
  <si>
    <t>111119507</t>
  </si>
  <si>
    <t>27/03/2026</t>
  </si>
  <si>
    <t>$12,861.00</t>
  </si>
  <si>
    <t>010-7382269</t>
  </si>
  <si>
    <t>661.387</t>
  </si>
  <si>
    <t>0081-1000097</t>
  </si>
  <si>
    <t>7244A</t>
  </si>
  <si>
    <t>6430.5</t>
  </si>
  <si>
    <t>TDS26-00218</t>
  </si>
  <si>
    <t>211430</t>
  </si>
  <si>
    <t>$1,626.00</t>
  </si>
  <si>
    <t>T&amp;C STAMPING INC</t>
  </si>
  <si>
    <t>S/N 1403 FREEMAN AVENUE, ATHENS ALABAMA, USA 35613</t>
  </si>
  <si>
    <t>10836564530-5</t>
  </si>
  <si>
    <t>31.751</t>
  </si>
  <si>
    <t>70</t>
  </si>
  <si>
    <t>1401-EQH0002</t>
  </si>
  <si>
    <t>8503009999</t>
  </si>
  <si>
    <t>ENSAMBLE DE TAPA FINAL</t>
  </si>
  <si>
    <t>15000</t>
  </si>
  <si>
    <t>813</t>
  </si>
  <si>
    <t>TDS26-00226</t>
  </si>
  <si>
    <t>90918270</t>
  </si>
  <si>
    <t>25/03/2026</t>
  </si>
  <si>
    <t>$634.90</t>
  </si>
  <si>
    <t>EFC INTERNATIONAL</t>
  </si>
  <si>
    <t>S/N 4150 CHANDLER DRIVE, HANOVER PARK ILLINOIS, USA 60133</t>
  </si>
  <si>
    <t>399935447220</t>
  </si>
  <si>
    <t>24.948</t>
  </si>
  <si>
    <t>55</t>
  </si>
  <si>
    <t>40433</t>
  </si>
  <si>
    <t>7318150400</t>
  </si>
  <si>
    <t>TORNILLO DE ACERO</t>
  </si>
  <si>
    <t>14000</t>
  </si>
  <si>
    <t>634.9</t>
  </si>
  <si>
    <t>TDS26-00258</t>
  </si>
  <si>
    <t>CD99125719</t>
  </si>
  <si>
    <t>$1,904.50</t>
  </si>
  <si>
    <t>870688263908</t>
  </si>
  <si>
    <t>4.082</t>
  </si>
  <si>
    <t>1621-MYY0007</t>
  </si>
  <si>
    <t>243192201</t>
  </si>
  <si>
    <t>325</t>
  </si>
  <si>
    <t>1904.5</t>
  </si>
  <si>
    <t>CD99125720</t>
  </si>
  <si>
    <t>$1,183.72</t>
  </si>
  <si>
    <t>202</t>
  </si>
  <si>
    <t>1183.72</t>
  </si>
  <si>
    <t>TDS26-00261</t>
  </si>
  <si>
    <t>JEMEX42226</t>
  </si>
  <si>
    <t>$250.00</t>
  </si>
  <si>
    <t>41895-</t>
  </si>
  <si>
    <t>48</t>
  </si>
  <si>
    <t>TDS26-00262</t>
  </si>
  <si>
    <t>MXO-26913</t>
  </si>
  <si>
    <t>$1,325.00</t>
  </si>
  <si>
    <t>240.395</t>
  </si>
  <si>
    <t>529.98</t>
  </si>
  <si>
    <t>60</t>
  </si>
  <si>
    <t>241</t>
  </si>
  <si>
    <t>1205</t>
  </si>
  <si>
    <t>TDS26-00263</t>
  </si>
  <si>
    <t>NY640226</t>
  </si>
  <si>
    <t>149.914</t>
  </si>
  <si>
    <t>JEGIN-42708</t>
  </si>
  <si>
    <t>6089053</t>
  </si>
  <si>
    <t>TDS26-00257</t>
  </si>
  <si>
    <t>097725</t>
  </si>
  <si>
    <t>$2,134.40</t>
  </si>
  <si>
    <t>SEHO NORTH AMERICA INC</t>
  </si>
  <si>
    <t>1445 JAMIKE DR, ERLANGER KY, USA 41018</t>
  </si>
  <si>
    <t>870611703950 ,498066</t>
  </si>
  <si>
    <t>91165032</t>
  </si>
  <si>
    <t>8483100801</t>
  </si>
  <si>
    <t>FLECHA</t>
  </si>
  <si>
    <t>190.62</t>
  </si>
  <si>
    <t>91165023</t>
  </si>
  <si>
    <t>971.89</t>
  </si>
  <si>
    <t>CB-011</t>
  </si>
  <si>
    <t>27/04/2026</t>
  </si>
  <si>
    <t>STDS9-01170</t>
  </si>
  <si>
    <t>JEGIN-42900</t>
  </si>
  <si>
    <t>6089055</t>
  </si>
  <si>
    <t>BDE230489289,</t>
  </si>
  <si>
    <t>TDS26-00224</t>
  </si>
  <si>
    <t>26019312</t>
  </si>
  <si>
    <t>$5,270.00</t>
  </si>
  <si>
    <t>COVE2682HA9E5</t>
  </si>
  <si>
    <t>102218564-01</t>
  </si>
  <si>
    <t>1000</t>
  </si>
  <si>
    <t>2204.623</t>
  </si>
  <si>
    <t>0070-1200005</t>
  </si>
  <si>
    <t>3902309900</t>
  </si>
  <si>
    <t>ELASTOMERO TERMOPLASTICO EN FORMA PRIMARIA</t>
  </si>
  <si>
    <t>5270</t>
  </si>
  <si>
    <t>TDS26-00264</t>
  </si>
  <si>
    <t>MXO-26917</t>
  </si>
  <si>
    <t>$27,888.12</t>
  </si>
  <si>
    <t>COVE2682HF294</t>
  </si>
  <si>
    <t>1863.6</t>
  </si>
  <si>
    <t>4108.535</t>
  </si>
  <si>
    <t>1908-1E90003RN</t>
  </si>
  <si>
    <t>8413309902</t>
  </si>
  <si>
    <t>BOMBA DE AGUA</t>
  </si>
  <si>
    <t>720</t>
  </si>
  <si>
    <t>27228.1199976</t>
  </si>
  <si>
    <t>30</t>
  </si>
  <si>
    <t>120</t>
  </si>
  <si>
    <t>600</t>
  </si>
  <si>
    <t>Referencia</t>
  </si>
  <si>
    <t>RM-J-1325LI26- M19</t>
  </si>
  <si>
    <t xml:space="preserve"> RM-J-1316I26- M19</t>
  </si>
  <si>
    <t>M-J-1331LI26- M46.PFA</t>
  </si>
  <si>
    <t>RM-J-1339LI26- M19</t>
  </si>
  <si>
    <t xml:space="preserve">RM-J-1342LI26- M19.1 </t>
  </si>
  <si>
    <t>AF-J-0908LI26-M00.1</t>
  </si>
  <si>
    <t>RM-J-1343LI26- M19</t>
  </si>
  <si>
    <t xml:space="preserve">RM-J-1357LI26-M19    </t>
  </si>
  <si>
    <t>RM-J-1359LI26-M23.CS1037</t>
  </si>
  <si>
    <t>Grand Total</t>
  </si>
  <si>
    <t>BU</t>
  </si>
  <si>
    <t>PESO POR CAJA</t>
  </si>
  <si>
    <t>CALCULAR EL PORCENTAJE DE CADA ITEM DE ACUERDO AL PESO</t>
  </si>
  <si>
    <t>% peso</t>
  </si>
  <si>
    <t>RM-J-1316I26- M19</t>
  </si>
  <si>
    <t>MONTO POR %</t>
  </si>
  <si>
    <t>m00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</si>
</sst>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.00000_);_(&quot;$&quot;* \(#,##0.000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pivotButton="1"/>
    <xf numFmtId="0" fontId="0" fillId="2" borderId="0" xfId="0" applyFill="1"/>
    <xf numFmtId="0" fontId="0" fillId="3" borderId="0" xfId="0" applyFill="1"/>
    <xf numFmtId="9" fontId="0" fillId="0" borderId="0" xfId="2" applyFont="1"/>
    <xf numFmtId="166" fontId="0" fillId="0" borderId="0" xfId="1" applyNumberFormat="1" applyFont="1"/>
    <xf numFmtId="10" fontId="0" fillId="0" borderId="0" xfId="2" applyNumberFormat="1" applyFon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55"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x1rika\AppData\Local\Microsoft\Windows\INetCache\Content.Outlook\G8HDREN3\Item%20List.xlsx" TargetMode="External"/><Relationship Id="rId1" Type="http://schemas.openxmlformats.org/officeDocument/2006/relationships/externalLinkPath" Target="file:///C:\Users\mx1rika\AppData\Local\Microsoft\Windows\INetCache\Content.Outlook\G8HDREN3\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Item</v>
          </cell>
          <cell r="C2" t="str">
            <v>Org</v>
          </cell>
        </row>
        <row r="3">
          <cell r="B3" t="str">
            <v>0010-1060001-0109</v>
          </cell>
          <cell r="C3" t="str">
            <v>M01</v>
          </cell>
        </row>
        <row r="4">
          <cell r="B4" t="str">
            <v>0010-106A007-0099</v>
          </cell>
          <cell r="C4" t="str">
            <v>M01</v>
          </cell>
        </row>
        <row r="5">
          <cell r="B5" t="str">
            <v>0011-M030001-0109</v>
          </cell>
          <cell r="C5" t="str">
            <v>M01</v>
          </cell>
        </row>
        <row r="6">
          <cell r="B6" t="str">
            <v>0011-M03A007-0125</v>
          </cell>
          <cell r="C6" t="str">
            <v>M01</v>
          </cell>
        </row>
        <row r="7">
          <cell r="B7" t="str">
            <v>0013-M04A005-0017</v>
          </cell>
          <cell r="C7" t="str">
            <v>M01</v>
          </cell>
        </row>
        <row r="8">
          <cell r="B8" t="str">
            <v>0013-104A005-0035</v>
          </cell>
          <cell r="C8" t="str">
            <v>M01</v>
          </cell>
        </row>
        <row r="9">
          <cell r="B9" t="str">
            <v>0013-M04A005-0032</v>
          </cell>
          <cell r="C9" t="str">
            <v>M01</v>
          </cell>
        </row>
        <row r="10">
          <cell r="B10" t="str">
            <v>0013-M04A005-0035</v>
          </cell>
          <cell r="C10" t="str">
            <v>M01</v>
          </cell>
        </row>
        <row r="11">
          <cell r="B11" t="str">
            <v>0060-1050240-GEN</v>
          </cell>
          <cell r="C11" t="str">
            <v>M01</v>
          </cell>
        </row>
        <row r="12">
          <cell r="B12" t="str">
            <v>0060-1050270-GEN</v>
          </cell>
          <cell r="C12" t="str">
            <v>M01</v>
          </cell>
        </row>
        <row r="13">
          <cell r="B13" t="str">
            <v>0060-1050290-YEN</v>
          </cell>
          <cell r="C13" t="str">
            <v>M01</v>
          </cell>
        </row>
        <row r="14">
          <cell r="B14" t="str">
            <v>0060-M050300</v>
          </cell>
          <cell r="C14" t="str">
            <v>M01</v>
          </cell>
        </row>
        <row r="15">
          <cell r="B15" t="str">
            <v>0060-M420160</v>
          </cell>
          <cell r="C15" t="str">
            <v>M01</v>
          </cell>
        </row>
        <row r="16">
          <cell r="B16" t="str">
            <v>0060-M420200</v>
          </cell>
          <cell r="C16" t="str">
            <v>M01</v>
          </cell>
        </row>
        <row r="17">
          <cell r="B17" t="str">
            <v>0060-M420220</v>
          </cell>
          <cell r="C17" t="str">
            <v>M01</v>
          </cell>
        </row>
        <row r="18">
          <cell r="B18" t="str">
            <v>0060-M460160</v>
          </cell>
          <cell r="C18" t="str">
            <v>M01</v>
          </cell>
        </row>
        <row r="19">
          <cell r="B19" t="str">
            <v>0060-M460200</v>
          </cell>
          <cell r="C19" t="str">
            <v>M01</v>
          </cell>
        </row>
        <row r="20">
          <cell r="B20" t="str">
            <v>0060-M470090</v>
          </cell>
          <cell r="C20" t="str">
            <v>M01</v>
          </cell>
        </row>
        <row r="21">
          <cell r="B21" t="str">
            <v>0060-M470100</v>
          </cell>
          <cell r="C21" t="str">
            <v>M01</v>
          </cell>
        </row>
        <row r="22">
          <cell r="B22" t="str">
            <v>0060-M470110</v>
          </cell>
          <cell r="C22" t="str">
            <v>M01</v>
          </cell>
        </row>
        <row r="23">
          <cell r="B23" t="str">
            <v>0060-X420140</v>
          </cell>
          <cell r="C23" t="str">
            <v>M01</v>
          </cell>
        </row>
        <row r="24">
          <cell r="B24" t="str">
            <v>0060-X420180</v>
          </cell>
          <cell r="C24" t="str">
            <v>M01</v>
          </cell>
        </row>
        <row r="25">
          <cell r="B25" t="str">
            <v>0062-1000080-3</v>
          </cell>
          <cell r="C25" t="str">
            <v>M01</v>
          </cell>
        </row>
        <row r="26">
          <cell r="B26" t="str">
            <v>0062-1000080-6</v>
          </cell>
          <cell r="C26" t="str">
            <v>M01</v>
          </cell>
        </row>
        <row r="27">
          <cell r="B27" t="str">
            <v>0070-M040002</v>
          </cell>
          <cell r="C27" t="str">
            <v>M01</v>
          </cell>
        </row>
        <row r="28">
          <cell r="B28" t="str">
            <v>0081-1000091</v>
          </cell>
          <cell r="C28" t="str">
            <v>M01</v>
          </cell>
        </row>
        <row r="29">
          <cell r="B29" t="str">
            <v>0081-1000095</v>
          </cell>
          <cell r="C29" t="str">
            <v>M01</v>
          </cell>
        </row>
        <row r="30">
          <cell r="B30" t="str">
            <v>0082-1000050</v>
          </cell>
          <cell r="C30" t="str">
            <v>M01</v>
          </cell>
        </row>
        <row r="31">
          <cell r="B31" t="str">
            <v>0082-M000001</v>
          </cell>
          <cell r="C31" t="str">
            <v>M01</v>
          </cell>
        </row>
        <row r="32">
          <cell r="B32" t="str">
            <v>0083-1000026</v>
          </cell>
          <cell r="C32" t="str">
            <v>M01</v>
          </cell>
        </row>
        <row r="33">
          <cell r="B33" t="str">
            <v>0085-1000002</v>
          </cell>
          <cell r="C33" t="str">
            <v>M01</v>
          </cell>
        </row>
        <row r="34">
          <cell r="B34" t="str">
            <v>0086-1000004</v>
          </cell>
          <cell r="C34" t="str">
            <v>M01</v>
          </cell>
        </row>
        <row r="35">
          <cell r="B35" t="str">
            <v>0088-1000085</v>
          </cell>
          <cell r="C35" t="str">
            <v>M01</v>
          </cell>
        </row>
        <row r="36">
          <cell r="B36" t="str">
            <v>0088-1000091</v>
          </cell>
          <cell r="C36" t="str">
            <v>M01</v>
          </cell>
        </row>
        <row r="37">
          <cell r="B37" t="str">
            <v>0089-M000001</v>
          </cell>
          <cell r="C37" t="str">
            <v>M01</v>
          </cell>
        </row>
        <row r="38">
          <cell r="B38" t="str">
            <v>1100-1021029</v>
          </cell>
          <cell r="C38" t="str">
            <v>M01</v>
          </cell>
        </row>
        <row r="39">
          <cell r="B39" t="str">
            <v>1100-1021030</v>
          </cell>
          <cell r="C39" t="str">
            <v>M01</v>
          </cell>
        </row>
        <row r="40">
          <cell r="B40" t="str">
            <v>1100-1021051</v>
          </cell>
          <cell r="C40" t="str">
            <v>M01</v>
          </cell>
        </row>
        <row r="41">
          <cell r="B41" t="str">
            <v>1100-1021052</v>
          </cell>
          <cell r="C41" t="str">
            <v>M01</v>
          </cell>
        </row>
        <row r="42">
          <cell r="B42" t="str">
            <v>1100-1021060</v>
          </cell>
          <cell r="C42" t="str">
            <v>M01</v>
          </cell>
        </row>
        <row r="43">
          <cell r="B43" t="str">
            <v>1100-1021061</v>
          </cell>
          <cell r="C43" t="str">
            <v>M01</v>
          </cell>
        </row>
        <row r="44">
          <cell r="B44" t="str">
            <v>1100-1030844</v>
          </cell>
          <cell r="C44" t="str">
            <v>M01</v>
          </cell>
        </row>
        <row r="45">
          <cell r="B45" t="str">
            <v>1100-1030845</v>
          </cell>
          <cell r="C45" t="str">
            <v>M01</v>
          </cell>
        </row>
        <row r="46">
          <cell r="B46" t="str">
            <v>1100-1030846</v>
          </cell>
          <cell r="C46" t="str">
            <v>M01</v>
          </cell>
        </row>
        <row r="47">
          <cell r="B47" t="str">
            <v>1100-1030854</v>
          </cell>
          <cell r="C47" t="str">
            <v>M01</v>
          </cell>
        </row>
        <row r="48">
          <cell r="B48" t="str">
            <v>1100-1030963</v>
          </cell>
          <cell r="C48" t="str">
            <v>M01</v>
          </cell>
        </row>
        <row r="49">
          <cell r="B49" t="str">
            <v>1100-1030967</v>
          </cell>
          <cell r="C49" t="str">
            <v>M01</v>
          </cell>
        </row>
        <row r="50">
          <cell r="B50" t="str">
            <v>1100-1031094</v>
          </cell>
          <cell r="C50" t="str">
            <v>M01</v>
          </cell>
        </row>
        <row r="51">
          <cell r="B51" t="str">
            <v>1100-1040208</v>
          </cell>
          <cell r="C51" t="str">
            <v>M01</v>
          </cell>
        </row>
        <row r="52">
          <cell r="B52" t="str">
            <v>1100-1040209</v>
          </cell>
          <cell r="C52" t="str">
            <v>M01</v>
          </cell>
        </row>
        <row r="53">
          <cell r="B53" t="str">
            <v>1100-M020001</v>
          </cell>
          <cell r="C53" t="str">
            <v>M01</v>
          </cell>
        </row>
        <row r="54">
          <cell r="B54" t="str">
            <v>1100-M020002</v>
          </cell>
          <cell r="C54" t="str">
            <v>M01</v>
          </cell>
        </row>
        <row r="55">
          <cell r="B55" t="str">
            <v>1100-M020003</v>
          </cell>
          <cell r="C55" t="str">
            <v>M01</v>
          </cell>
        </row>
        <row r="56">
          <cell r="B56" t="str">
            <v>1100-M020004</v>
          </cell>
          <cell r="C56" t="str">
            <v>M01</v>
          </cell>
        </row>
        <row r="57">
          <cell r="B57" t="str">
            <v>1100-M020005</v>
          </cell>
          <cell r="C57" t="str">
            <v>M01</v>
          </cell>
        </row>
        <row r="58">
          <cell r="B58" t="str">
            <v>1100-M020006</v>
          </cell>
          <cell r="C58" t="str">
            <v>M01</v>
          </cell>
        </row>
        <row r="59">
          <cell r="B59" t="str">
            <v>1100-M020007</v>
          </cell>
          <cell r="C59" t="str">
            <v>M01</v>
          </cell>
        </row>
        <row r="60">
          <cell r="B60" t="str">
            <v>1100-M020008</v>
          </cell>
          <cell r="C60" t="str">
            <v>M01</v>
          </cell>
        </row>
        <row r="61">
          <cell r="B61" t="str">
            <v>1100-M020009</v>
          </cell>
          <cell r="C61" t="str">
            <v>M01</v>
          </cell>
        </row>
        <row r="62">
          <cell r="B62" t="str">
            <v>1100-M020010</v>
          </cell>
          <cell r="C62" t="str">
            <v>M01</v>
          </cell>
        </row>
        <row r="63">
          <cell r="B63" t="str">
            <v>1100-M030001</v>
          </cell>
          <cell r="C63" t="str">
            <v>M01</v>
          </cell>
        </row>
        <row r="64">
          <cell r="B64" t="str">
            <v>1100-M030002</v>
          </cell>
          <cell r="C64" t="str">
            <v>M01</v>
          </cell>
        </row>
        <row r="65">
          <cell r="B65" t="str">
            <v>1101-0037350EN</v>
          </cell>
          <cell r="C65" t="str">
            <v>M01</v>
          </cell>
        </row>
        <row r="66">
          <cell r="B66" t="str">
            <v>1101-1020110EN</v>
          </cell>
          <cell r="C66" t="str">
            <v>M01</v>
          </cell>
        </row>
        <row r="67">
          <cell r="B67" t="str">
            <v>1101-1020229EN</v>
          </cell>
          <cell r="C67" t="str">
            <v>M01</v>
          </cell>
        </row>
        <row r="68">
          <cell r="B68" t="str">
            <v>1101-1020408EN</v>
          </cell>
          <cell r="C68" t="str">
            <v>M01</v>
          </cell>
        </row>
        <row r="69">
          <cell r="B69" t="str">
            <v>1101-1020477EN</v>
          </cell>
          <cell r="C69" t="str">
            <v>M01</v>
          </cell>
        </row>
        <row r="70">
          <cell r="B70" t="str">
            <v>1101-1020482EN</v>
          </cell>
          <cell r="C70" t="str">
            <v>M01</v>
          </cell>
        </row>
        <row r="71">
          <cell r="B71" t="str">
            <v>1101-1020565EN</v>
          </cell>
          <cell r="C71" t="str">
            <v>M01</v>
          </cell>
        </row>
        <row r="72">
          <cell r="B72" t="str">
            <v>1101-1020581EN</v>
          </cell>
          <cell r="C72" t="str">
            <v>M01</v>
          </cell>
        </row>
        <row r="73">
          <cell r="B73" t="str">
            <v>1101-1020646EN</v>
          </cell>
          <cell r="C73" t="str">
            <v>M01</v>
          </cell>
        </row>
        <row r="74">
          <cell r="B74" t="str">
            <v>1101-1020647EN</v>
          </cell>
          <cell r="C74" t="str">
            <v>M01</v>
          </cell>
        </row>
        <row r="75">
          <cell r="B75" t="str">
            <v>1101-1020648EN</v>
          </cell>
          <cell r="C75" t="str">
            <v>M01</v>
          </cell>
        </row>
        <row r="76">
          <cell r="B76" t="str">
            <v>1101-1020655EN</v>
          </cell>
          <cell r="C76" t="str">
            <v>M01</v>
          </cell>
        </row>
        <row r="77">
          <cell r="B77" t="str">
            <v>1101-1040233EN</v>
          </cell>
          <cell r="C77" t="str">
            <v>M01</v>
          </cell>
        </row>
        <row r="78">
          <cell r="B78" t="str">
            <v>1102-0039190EN</v>
          </cell>
          <cell r="C78" t="str">
            <v>M01</v>
          </cell>
        </row>
        <row r="79">
          <cell r="B79" t="str">
            <v>1102-1020156EN</v>
          </cell>
          <cell r="C79" t="str">
            <v>M01</v>
          </cell>
        </row>
        <row r="80">
          <cell r="B80" t="str">
            <v>1102-1030092EN</v>
          </cell>
          <cell r="C80" t="str">
            <v>M01</v>
          </cell>
        </row>
        <row r="81">
          <cell r="B81" t="str">
            <v>1102-M020001</v>
          </cell>
          <cell r="C81" t="str">
            <v>M01</v>
          </cell>
        </row>
        <row r="82">
          <cell r="B82" t="str">
            <v>1102-M020003</v>
          </cell>
          <cell r="C82" t="str">
            <v>M01</v>
          </cell>
        </row>
        <row r="83">
          <cell r="B83" t="str">
            <v>1102-M030001</v>
          </cell>
          <cell r="C83" t="str">
            <v>M01</v>
          </cell>
        </row>
        <row r="84">
          <cell r="B84" t="str">
            <v>1102-M030001/MX</v>
          </cell>
          <cell r="C84" t="str">
            <v>M01</v>
          </cell>
        </row>
        <row r="85">
          <cell r="B85" t="str">
            <v>1104-1020004EP</v>
          </cell>
          <cell r="C85" t="str">
            <v>M01</v>
          </cell>
        </row>
        <row r="86">
          <cell r="B86" t="str">
            <v>1104-1020068EP</v>
          </cell>
          <cell r="C86" t="str">
            <v>M01</v>
          </cell>
        </row>
        <row r="87">
          <cell r="B87" t="str">
            <v>1104-1020118EN</v>
          </cell>
          <cell r="C87" t="str">
            <v>M01</v>
          </cell>
        </row>
        <row r="88">
          <cell r="B88" t="str">
            <v>1104-1030009EN</v>
          </cell>
          <cell r="C88" t="str">
            <v>M01</v>
          </cell>
        </row>
        <row r="89">
          <cell r="B89" t="str">
            <v>1104-1030078EN</v>
          </cell>
          <cell r="C89" t="str">
            <v>M01</v>
          </cell>
        </row>
        <row r="90">
          <cell r="B90" t="str">
            <v>1104-1040076EN</v>
          </cell>
          <cell r="C90" t="str">
            <v>M01</v>
          </cell>
        </row>
        <row r="91">
          <cell r="B91" t="str">
            <v>1108-0022070EN</v>
          </cell>
          <cell r="C91" t="str">
            <v>M01</v>
          </cell>
        </row>
        <row r="92">
          <cell r="B92" t="str">
            <v>1108-0033100EN0018</v>
          </cell>
          <cell r="C92" t="str">
            <v>M01</v>
          </cell>
        </row>
        <row r="93">
          <cell r="B93" t="str">
            <v>1108-1040049EN</v>
          </cell>
          <cell r="C93" t="str">
            <v>M01</v>
          </cell>
        </row>
        <row r="94">
          <cell r="B94" t="str">
            <v>1109-0037210EN</v>
          </cell>
          <cell r="C94" t="str">
            <v>M01</v>
          </cell>
        </row>
        <row r="95">
          <cell r="B95" t="str">
            <v>1109-1010001EP</v>
          </cell>
          <cell r="C95" t="str">
            <v>M01</v>
          </cell>
        </row>
        <row r="96">
          <cell r="B96" t="str">
            <v>1109-1020019EN</v>
          </cell>
          <cell r="C96" t="str">
            <v>M01</v>
          </cell>
        </row>
        <row r="97">
          <cell r="B97" t="str">
            <v>1109-1020020</v>
          </cell>
          <cell r="C97" t="str">
            <v>M01</v>
          </cell>
        </row>
        <row r="98">
          <cell r="B98" t="str">
            <v>1109-1020020EN</v>
          </cell>
          <cell r="C98" t="str">
            <v>M01</v>
          </cell>
        </row>
        <row r="99">
          <cell r="B99" t="str">
            <v>1109-1060001EN</v>
          </cell>
          <cell r="C99" t="str">
            <v>M01</v>
          </cell>
        </row>
        <row r="100">
          <cell r="B100" t="str">
            <v>1110-0035030EN</v>
          </cell>
          <cell r="C100" t="str">
            <v>M01</v>
          </cell>
        </row>
        <row r="101">
          <cell r="B101" t="str">
            <v>1110-1010006EP</v>
          </cell>
          <cell r="C101" t="str">
            <v>M01</v>
          </cell>
        </row>
        <row r="102">
          <cell r="B102" t="str">
            <v>1110-1060040EN</v>
          </cell>
          <cell r="C102" t="str">
            <v>M01</v>
          </cell>
        </row>
        <row r="103">
          <cell r="B103" t="str">
            <v>1121-1020731</v>
          </cell>
          <cell r="C103" t="str">
            <v>M01</v>
          </cell>
        </row>
        <row r="104">
          <cell r="B104" t="str">
            <v>1121-1020732</v>
          </cell>
          <cell r="C104" t="str">
            <v>M01</v>
          </cell>
        </row>
        <row r="105">
          <cell r="B105" t="str">
            <v>1121-1040153</v>
          </cell>
          <cell r="C105" t="str">
            <v>M01</v>
          </cell>
        </row>
        <row r="106">
          <cell r="B106" t="str">
            <v>1121-M020003</v>
          </cell>
          <cell r="C106" t="str">
            <v>M01</v>
          </cell>
        </row>
        <row r="107">
          <cell r="B107" t="str">
            <v>1121-M020004</v>
          </cell>
          <cell r="C107" t="str">
            <v>M01</v>
          </cell>
        </row>
        <row r="108">
          <cell r="B108" t="str">
            <v>1121-M020005</v>
          </cell>
          <cell r="C108" t="str">
            <v>M01</v>
          </cell>
        </row>
        <row r="109">
          <cell r="B109" t="str">
            <v>1121-M020006</v>
          </cell>
          <cell r="C109" t="str">
            <v>M01</v>
          </cell>
        </row>
        <row r="110">
          <cell r="B110" t="str">
            <v>1121-M030001</v>
          </cell>
          <cell r="C110" t="str">
            <v>M01</v>
          </cell>
        </row>
        <row r="111">
          <cell r="B111" t="str">
            <v>1123-1030026</v>
          </cell>
          <cell r="C111" t="str">
            <v>M01</v>
          </cell>
        </row>
        <row r="112">
          <cell r="B112" t="str">
            <v>1158-1030023EN</v>
          </cell>
          <cell r="C112" t="str">
            <v>M01</v>
          </cell>
        </row>
        <row r="113">
          <cell r="B113" t="str">
            <v>11803-30270EN</v>
          </cell>
          <cell r="C113" t="str">
            <v>M01</v>
          </cell>
        </row>
        <row r="114">
          <cell r="B114" t="str">
            <v>11803-30271EN</v>
          </cell>
          <cell r="C114" t="str">
            <v>M01</v>
          </cell>
        </row>
        <row r="115">
          <cell r="B115" t="str">
            <v>11803-30276EN</v>
          </cell>
          <cell r="C115" t="str">
            <v>M01</v>
          </cell>
        </row>
        <row r="116">
          <cell r="B116" t="str">
            <v>1200-1020864EN</v>
          </cell>
          <cell r="C116" t="str">
            <v>M01</v>
          </cell>
        </row>
        <row r="117">
          <cell r="B117" t="str">
            <v>1200-1020920-02EN</v>
          </cell>
          <cell r="C117" t="str">
            <v>M01</v>
          </cell>
        </row>
        <row r="118">
          <cell r="B118" t="str">
            <v>1200-1020923-02EN</v>
          </cell>
          <cell r="C118" t="str">
            <v>M01</v>
          </cell>
        </row>
        <row r="119">
          <cell r="B119" t="str">
            <v>1200-1020950-02EN</v>
          </cell>
          <cell r="C119" t="str">
            <v>M01</v>
          </cell>
        </row>
        <row r="120">
          <cell r="B120" t="str">
            <v>1200-1020951-02EN</v>
          </cell>
          <cell r="C120" t="str">
            <v>M01</v>
          </cell>
        </row>
        <row r="121">
          <cell r="B121" t="str">
            <v>1200-1021006-02EN</v>
          </cell>
          <cell r="C121" t="str">
            <v>M01</v>
          </cell>
        </row>
        <row r="122">
          <cell r="B122" t="str">
            <v>1200-1030440</v>
          </cell>
          <cell r="C122" t="str">
            <v>M01</v>
          </cell>
        </row>
        <row r="123">
          <cell r="B123" t="str">
            <v>1200-1030440EN</v>
          </cell>
          <cell r="C123" t="str">
            <v>M01</v>
          </cell>
        </row>
        <row r="124">
          <cell r="B124" t="str">
            <v>1200-1030746EN</v>
          </cell>
          <cell r="C124" t="str">
            <v>M01</v>
          </cell>
        </row>
        <row r="125">
          <cell r="B125" t="str">
            <v>1200-1030955EN</v>
          </cell>
          <cell r="C125" t="str">
            <v>M01</v>
          </cell>
        </row>
        <row r="126">
          <cell r="B126" t="str">
            <v>1200-1030990EN0002</v>
          </cell>
          <cell r="C126" t="str">
            <v>M01</v>
          </cell>
        </row>
        <row r="127">
          <cell r="B127" t="str">
            <v>1200-1040136EN</v>
          </cell>
          <cell r="C127" t="str">
            <v>M01</v>
          </cell>
        </row>
        <row r="128">
          <cell r="B128" t="str">
            <v>1200-1040137EN</v>
          </cell>
          <cell r="C128" t="str">
            <v>M01</v>
          </cell>
        </row>
        <row r="129">
          <cell r="B129" t="str">
            <v>1200-1040138EN</v>
          </cell>
          <cell r="C129" t="str">
            <v>M01</v>
          </cell>
        </row>
        <row r="130">
          <cell r="B130" t="str">
            <v>1200-1040139EN</v>
          </cell>
          <cell r="C130" t="str">
            <v>M01</v>
          </cell>
        </row>
        <row r="131">
          <cell r="B131" t="str">
            <v>1200-3030001EN</v>
          </cell>
          <cell r="C131" t="str">
            <v>M01</v>
          </cell>
        </row>
        <row r="132">
          <cell r="B132" t="str">
            <v>1200-M020001</v>
          </cell>
          <cell r="C132" t="str">
            <v>M01</v>
          </cell>
        </row>
        <row r="133">
          <cell r="B133" t="str">
            <v>1200-M020001EN</v>
          </cell>
          <cell r="C133" t="str">
            <v>M01</v>
          </cell>
        </row>
        <row r="134">
          <cell r="B134" t="str">
            <v>1200-M020002</v>
          </cell>
          <cell r="C134" t="str">
            <v>M01</v>
          </cell>
        </row>
        <row r="135">
          <cell r="B135" t="str">
            <v>1200-M020002EN</v>
          </cell>
          <cell r="C135" t="str">
            <v>M01</v>
          </cell>
        </row>
        <row r="136">
          <cell r="B136" t="str">
            <v>1200-M020003</v>
          </cell>
          <cell r="C136" t="str">
            <v>M01</v>
          </cell>
        </row>
        <row r="137">
          <cell r="B137" t="str">
            <v>1200-M020003EN</v>
          </cell>
          <cell r="C137" t="str">
            <v>M01</v>
          </cell>
        </row>
        <row r="138">
          <cell r="B138" t="str">
            <v>1200-M020004</v>
          </cell>
          <cell r="C138" t="str">
            <v>M01</v>
          </cell>
        </row>
        <row r="139">
          <cell r="B139" t="str">
            <v>1200-M020006</v>
          </cell>
          <cell r="C139" t="str">
            <v>M01</v>
          </cell>
        </row>
        <row r="140">
          <cell r="B140" t="str">
            <v>1200-M020007</v>
          </cell>
          <cell r="C140" t="str">
            <v>M01</v>
          </cell>
        </row>
        <row r="141">
          <cell r="B141" t="str">
            <v>1200-M030001</v>
          </cell>
          <cell r="C141" t="str">
            <v>M01</v>
          </cell>
        </row>
        <row r="142">
          <cell r="B142" t="str">
            <v>1200-M030002</v>
          </cell>
          <cell r="C142" t="str">
            <v>M01</v>
          </cell>
        </row>
        <row r="143">
          <cell r="B143" t="str">
            <v>1201-1030400EN</v>
          </cell>
          <cell r="C143" t="str">
            <v>M01</v>
          </cell>
        </row>
        <row r="144">
          <cell r="B144" t="str">
            <v>1201-M020002</v>
          </cell>
          <cell r="C144" t="str">
            <v>M01</v>
          </cell>
        </row>
        <row r="145">
          <cell r="B145" t="str">
            <v>1201-M020002/MX</v>
          </cell>
          <cell r="C145" t="str">
            <v>M01</v>
          </cell>
        </row>
        <row r="146">
          <cell r="B146" t="str">
            <v>1201-M020004</v>
          </cell>
          <cell r="C146" t="str">
            <v>M01</v>
          </cell>
        </row>
        <row r="147">
          <cell r="B147" t="str">
            <v>1201-M020004/MX</v>
          </cell>
          <cell r="C147" t="str">
            <v>M01</v>
          </cell>
        </row>
        <row r="148">
          <cell r="B148" t="str">
            <v>1201-M030001</v>
          </cell>
          <cell r="C148" t="str">
            <v>M01</v>
          </cell>
        </row>
        <row r="149">
          <cell r="B149" t="str">
            <v>1201-M030001/MX</v>
          </cell>
          <cell r="C149" t="str">
            <v>M01</v>
          </cell>
        </row>
        <row r="150">
          <cell r="B150" t="str">
            <v>1201-M030005</v>
          </cell>
          <cell r="C150" t="str">
            <v>M01</v>
          </cell>
        </row>
        <row r="151">
          <cell r="B151" t="str">
            <v>1201-M030005/MX</v>
          </cell>
          <cell r="C151" t="str">
            <v>M01</v>
          </cell>
        </row>
        <row r="152">
          <cell r="B152" t="str">
            <v>1202-1010096EN</v>
          </cell>
          <cell r="C152" t="str">
            <v>M01</v>
          </cell>
        </row>
        <row r="153">
          <cell r="B153" t="str">
            <v>1202-1010104EN</v>
          </cell>
          <cell r="C153" t="str">
            <v>M01</v>
          </cell>
        </row>
        <row r="154">
          <cell r="B154" t="str">
            <v>1202-1020067-54EN</v>
          </cell>
          <cell r="C154" t="str">
            <v>M01</v>
          </cell>
        </row>
        <row r="155">
          <cell r="B155" t="str">
            <v>1202-1020121-54EN</v>
          </cell>
          <cell r="C155" t="str">
            <v>M01</v>
          </cell>
        </row>
        <row r="156">
          <cell r="B156" t="str">
            <v>1202-1020290EN</v>
          </cell>
          <cell r="C156" t="str">
            <v>M01</v>
          </cell>
        </row>
        <row r="157">
          <cell r="B157" t="str">
            <v>1202-1030020-74EN</v>
          </cell>
          <cell r="C157" t="str">
            <v>M01</v>
          </cell>
        </row>
        <row r="158">
          <cell r="B158" t="str">
            <v>1202-1030020-76EN</v>
          </cell>
          <cell r="C158" t="str">
            <v>M01</v>
          </cell>
        </row>
        <row r="159">
          <cell r="B159" t="str">
            <v>1202-1030170-71EN</v>
          </cell>
          <cell r="C159" t="str">
            <v>M01</v>
          </cell>
        </row>
        <row r="160">
          <cell r="B160" t="str">
            <v>1202-1030170-76EN</v>
          </cell>
          <cell r="C160" t="str">
            <v>M01</v>
          </cell>
        </row>
        <row r="161">
          <cell r="B161" t="str">
            <v>1202-1030350EN</v>
          </cell>
          <cell r="C161" t="str">
            <v>M01</v>
          </cell>
        </row>
        <row r="162">
          <cell r="B162" t="str">
            <v>1202-1040045-51EN</v>
          </cell>
          <cell r="C162" t="str">
            <v>M01</v>
          </cell>
        </row>
        <row r="163">
          <cell r="B163" t="str">
            <v>1202-1040147EN</v>
          </cell>
          <cell r="C163" t="str">
            <v>M01</v>
          </cell>
        </row>
        <row r="164">
          <cell r="B164" t="str">
            <v>1204-0035710EN</v>
          </cell>
          <cell r="C164" t="str">
            <v>M01</v>
          </cell>
        </row>
        <row r="165">
          <cell r="B165" t="str">
            <v>1205-1010103EN</v>
          </cell>
          <cell r="C165" t="str">
            <v>M01</v>
          </cell>
        </row>
        <row r="166">
          <cell r="B166" t="str">
            <v>1205-1010104EN</v>
          </cell>
          <cell r="C166" t="str">
            <v>M01</v>
          </cell>
        </row>
        <row r="167">
          <cell r="B167" t="str">
            <v>1205-1020119EN</v>
          </cell>
          <cell r="C167" t="str">
            <v>M01</v>
          </cell>
        </row>
        <row r="168">
          <cell r="B168" t="str">
            <v>1205-1030435-T1EN</v>
          </cell>
          <cell r="C168" t="str">
            <v>M01</v>
          </cell>
        </row>
        <row r="169">
          <cell r="B169" t="str">
            <v>1205-1030436-T1EN</v>
          </cell>
          <cell r="C169" t="str">
            <v>M01</v>
          </cell>
        </row>
        <row r="170">
          <cell r="B170" t="str">
            <v>1209-1020072</v>
          </cell>
          <cell r="C170" t="str">
            <v>M01</v>
          </cell>
        </row>
        <row r="171">
          <cell r="B171" t="str">
            <v>1209-1020072-05EN</v>
          </cell>
          <cell r="C171" t="str">
            <v>M01</v>
          </cell>
        </row>
        <row r="172">
          <cell r="B172" t="str">
            <v>1209-1020072EN</v>
          </cell>
          <cell r="C172" t="str">
            <v>M01</v>
          </cell>
        </row>
        <row r="173">
          <cell r="B173" t="str">
            <v>1209-1020073</v>
          </cell>
          <cell r="C173" t="str">
            <v>M01</v>
          </cell>
        </row>
        <row r="174">
          <cell r="B174" t="str">
            <v>1209-1020073-05EN</v>
          </cell>
          <cell r="C174" t="str">
            <v>M01</v>
          </cell>
        </row>
        <row r="175">
          <cell r="B175" t="str">
            <v>1209-1020073EN</v>
          </cell>
          <cell r="C175" t="str">
            <v>M01</v>
          </cell>
        </row>
        <row r="176">
          <cell r="B176" t="str">
            <v>1209-1020091</v>
          </cell>
          <cell r="C176" t="str">
            <v>M01</v>
          </cell>
        </row>
        <row r="177">
          <cell r="B177" t="str">
            <v>1209-1020091-05EN</v>
          </cell>
          <cell r="C177" t="str">
            <v>M01</v>
          </cell>
        </row>
        <row r="178">
          <cell r="B178" t="str">
            <v>1209-1020092</v>
          </cell>
          <cell r="C178" t="str">
            <v>M01</v>
          </cell>
        </row>
        <row r="179">
          <cell r="B179" t="str">
            <v>1209-1020092-05EN</v>
          </cell>
          <cell r="C179" t="str">
            <v>M01</v>
          </cell>
        </row>
        <row r="180">
          <cell r="B180" t="str">
            <v>1209-1020104-05EN</v>
          </cell>
          <cell r="C180" t="str">
            <v>M01</v>
          </cell>
        </row>
        <row r="181">
          <cell r="B181" t="str">
            <v>1209-1020105-05EN</v>
          </cell>
          <cell r="C181" t="str">
            <v>M01</v>
          </cell>
        </row>
        <row r="182">
          <cell r="B182" t="str">
            <v>1209-1020110</v>
          </cell>
          <cell r="C182" t="str">
            <v>M01</v>
          </cell>
        </row>
        <row r="183">
          <cell r="B183" t="str">
            <v>1209-1020110-05EN</v>
          </cell>
          <cell r="C183" t="str">
            <v>M01</v>
          </cell>
        </row>
        <row r="184">
          <cell r="B184" t="str">
            <v>1209-1030065EN</v>
          </cell>
          <cell r="C184" t="str">
            <v>M01</v>
          </cell>
        </row>
        <row r="185">
          <cell r="B185" t="str">
            <v>1226-1020023EN</v>
          </cell>
          <cell r="C185" t="str">
            <v>M01</v>
          </cell>
        </row>
        <row r="186">
          <cell r="B186" t="str">
            <v>1226-1020024EN</v>
          </cell>
          <cell r="C186" t="str">
            <v>M01</v>
          </cell>
        </row>
        <row r="187">
          <cell r="B187" t="str">
            <v>1226-1020041EN</v>
          </cell>
          <cell r="C187" t="str">
            <v>M01</v>
          </cell>
        </row>
        <row r="188">
          <cell r="B188" t="str">
            <v>1226-1020042EN</v>
          </cell>
          <cell r="C188" t="str">
            <v>M01</v>
          </cell>
        </row>
        <row r="189">
          <cell r="B189" t="str">
            <v>1227-0020420EN</v>
          </cell>
          <cell r="C189" t="str">
            <v>M01</v>
          </cell>
        </row>
        <row r="190">
          <cell r="B190" t="str">
            <v>1252-1020065EN</v>
          </cell>
          <cell r="C190" t="str">
            <v>M01</v>
          </cell>
        </row>
        <row r="191">
          <cell r="B191" t="str">
            <v>1253-0037210EN</v>
          </cell>
          <cell r="C191" t="str">
            <v>M01</v>
          </cell>
        </row>
        <row r="192">
          <cell r="B192" t="str">
            <v>1253-1020059EN</v>
          </cell>
          <cell r="C192" t="str">
            <v>M01</v>
          </cell>
        </row>
        <row r="193">
          <cell r="B193" t="str">
            <v>1253-1020084-07EN</v>
          </cell>
          <cell r="C193" t="str">
            <v>M01</v>
          </cell>
        </row>
        <row r="194">
          <cell r="B194" t="str">
            <v>1253-1020084-56</v>
          </cell>
          <cell r="C194" t="str">
            <v>M01</v>
          </cell>
        </row>
        <row r="195">
          <cell r="B195" t="str">
            <v>1253-1020084-56EN</v>
          </cell>
          <cell r="C195" t="str">
            <v>M01</v>
          </cell>
        </row>
        <row r="196">
          <cell r="B196" t="str">
            <v>1253-1020095-07EN</v>
          </cell>
          <cell r="C196" t="str">
            <v>M01</v>
          </cell>
        </row>
        <row r="197">
          <cell r="B197" t="str">
            <v>1253-1020095-56EN</v>
          </cell>
          <cell r="C197" t="str">
            <v>M01</v>
          </cell>
        </row>
        <row r="198">
          <cell r="B198" t="str">
            <v>1253-1020104-07EN</v>
          </cell>
          <cell r="C198" t="str">
            <v>M01</v>
          </cell>
        </row>
        <row r="199">
          <cell r="B199" t="str">
            <v>1253-1030007-56EN</v>
          </cell>
          <cell r="C199" t="str">
            <v>M01</v>
          </cell>
        </row>
        <row r="200">
          <cell r="B200" t="str">
            <v>1263-1030027EN</v>
          </cell>
          <cell r="C200" t="str">
            <v>M01</v>
          </cell>
        </row>
        <row r="201">
          <cell r="B201" t="str">
            <v>1267-1020032EN</v>
          </cell>
          <cell r="C201" t="str">
            <v>M01</v>
          </cell>
        </row>
        <row r="202">
          <cell r="B202" t="str">
            <v>1277-1030062EN</v>
          </cell>
          <cell r="C202" t="str">
            <v>M01</v>
          </cell>
        </row>
        <row r="203">
          <cell r="B203" t="str">
            <v>1277-1030064EN</v>
          </cell>
          <cell r="C203" t="str">
            <v>M01</v>
          </cell>
        </row>
        <row r="204">
          <cell r="B204" t="str">
            <v>1277-1030069EN</v>
          </cell>
          <cell r="C204" t="str">
            <v>M01</v>
          </cell>
        </row>
        <row r="205">
          <cell r="B205" t="str">
            <v>1277-1030086EN</v>
          </cell>
          <cell r="C205" t="str">
            <v>M01</v>
          </cell>
        </row>
        <row r="206">
          <cell r="B206" t="str">
            <v>1277-1030087</v>
          </cell>
          <cell r="C206" t="str">
            <v>M01</v>
          </cell>
        </row>
        <row r="207">
          <cell r="B207" t="str">
            <v>1277-1030087EN</v>
          </cell>
          <cell r="C207" t="str">
            <v>M01</v>
          </cell>
        </row>
        <row r="208">
          <cell r="B208" t="str">
            <v>1277-1030088EN</v>
          </cell>
          <cell r="C208" t="str">
            <v>M01</v>
          </cell>
        </row>
        <row r="209">
          <cell r="B209" t="str">
            <v>1277-1030089</v>
          </cell>
          <cell r="C209" t="str">
            <v>M01</v>
          </cell>
        </row>
        <row r="210">
          <cell r="B210" t="str">
            <v>1277-1030089EN</v>
          </cell>
          <cell r="C210" t="str">
            <v>M01</v>
          </cell>
        </row>
        <row r="211">
          <cell r="B211" t="str">
            <v>1277-1030100EN</v>
          </cell>
          <cell r="C211" t="str">
            <v>M01</v>
          </cell>
        </row>
        <row r="212">
          <cell r="B212" t="str">
            <v>1277-1030115EN</v>
          </cell>
          <cell r="C212" t="str">
            <v>M01</v>
          </cell>
        </row>
        <row r="213">
          <cell r="B213" t="str">
            <v>1277-1030120</v>
          </cell>
          <cell r="C213" t="str">
            <v>M01</v>
          </cell>
        </row>
        <row r="214">
          <cell r="B214" t="str">
            <v>1294-1020004EN</v>
          </cell>
          <cell r="C214" t="str">
            <v>M01</v>
          </cell>
        </row>
        <row r="215">
          <cell r="B215" t="str">
            <v>1300-1020790</v>
          </cell>
          <cell r="C215" t="str">
            <v>M01</v>
          </cell>
        </row>
        <row r="216">
          <cell r="B216" t="str">
            <v>1300-1020809</v>
          </cell>
          <cell r="C216" t="str">
            <v>M01</v>
          </cell>
        </row>
        <row r="217">
          <cell r="B217" t="str">
            <v>1300-1020813</v>
          </cell>
          <cell r="C217" t="str">
            <v>M01</v>
          </cell>
        </row>
        <row r="218">
          <cell r="B218" t="str">
            <v>1300-1020814</v>
          </cell>
          <cell r="C218" t="str">
            <v>M01</v>
          </cell>
        </row>
        <row r="219">
          <cell r="B219" t="str">
            <v>1300-1030594</v>
          </cell>
          <cell r="C219" t="str">
            <v>M01</v>
          </cell>
        </row>
        <row r="220">
          <cell r="B220" t="str">
            <v>1300-1030686</v>
          </cell>
          <cell r="C220" t="str">
            <v>M01</v>
          </cell>
        </row>
        <row r="221">
          <cell r="B221" t="str">
            <v>1300-1030694</v>
          </cell>
          <cell r="C221" t="str">
            <v>M01</v>
          </cell>
        </row>
        <row r="222">
          <cell r="B222" t="str">
            <v>1300-1030695</v>
          </cell>
          <cell r="C222" t="str">
            <v>M01</v>
          </cell>
        </row>
        <row r="223">
          <cell r="B223" t="str">
            <v>1300-1040121</v>
          </cell>
          <cell r="C223" t="str">
            <v>M01</v>
          </cell>
        </row>
        <row r="224">
          <cell r="B224" t="str">
            <v>1300-1040122</v>
          </cell>
          <cell r="C224" t="str">
            <v>M01</v>
          </cell>
        </row>
        <row r="225">
          <cell r="B225" t="str">
            <v>1300-M020001</v>
          </cell>
          <cell r="C225" t="str">
            <v>M01</v>
          </cell>
        </row>
        <row r="226">
          <cell r="B226" t="str">
            <v>1300-M020002</v>
          </cell>
          <cell r="C226" t="str">
            <v>M01</v>
          </cell>
        </row>
        <row r="227">
          <cell r="B227" t="str">
            <v>1300-M020003</v>
          </cell>
          <cell r="C227" t="str">
            <v>M01</v>
          </cell>
        </row>
        <row r="228">
          <cell r="B228" t="str">
            <v>1300-M020004</v>
          </cell>
          <cell r="C228" t="str">
            <v>M01</v>
          </cell>
        </row>
        <row r="229">
          <cell r="B229" t="str">
            <v>1300-M020005</v>
          </cell>
          <cell r="C229" t="str">
            <v>M01</v>
          </cell>
        </row>
        <row r="230">
          <cell r="B230" t="str">
            <v>1300-M030001</v>
          </cell>
          <cell r="C230" t="str">
            <v>M01</v>
          </cell>
        </row>
        <row r="231">
          <cell r="B231" t="str">
            <v>1300-M030002</v>
          </cell>
          <cell r="C231" t="str">
            <v>M01</v>
          </cell>
        </row>
        <row r="232">
          <cell r="B232" t="str">
            <v>1301-1010116/MX</v>
          </cell>
          <cell r="C232" t="str">
            <v>M01</v>
          </cell>
        </row>
        <row r="233">
          <cell r="B233" t="str">
            <v>1301-1010120/MX</v>
          </cell>
          <cell r="C233" t="str">
            <v>M01</v>
          </cell>
        </row>
        <row r="234">
          <cell r="B234" t="str">
            <v>1301-1010120EN</v>
          </cell>
          <cell r="C234" t="str">
            <v>M01</v>
          </cell>
        </row>
        <row r="235">
          <cell r="B235" t="str">
            <v>1301-1020300-93</v>
          </cell>
          <cell r="C235" t="str">
            <v>M01</v>
          </cell>
        </row>
        <row r="236">
          <cell r="B236" t="str">
            <v>1301-1020300XX0093</v>
          </cell>
          <cell r="C236" t="str">
            <v>M01</v>
          </cell>
        </row>
        <row r="237">
          <cell r="B237" t="str">
            <v>1301-1020333-93</v>
          </cell>
          <cell r="C237" t="str">
            <v>M01</v>
          </cell>
        </row>
        <row r="238">
          <cell r="B238" t="str">
            <v>1301-1020333-93/MX</v>
          </cell>
          <cell r="C238" t="str">
            <v>M01</v>
          </cell>
        </row>
        <row r="239">
          <cell r="B239" t="str">
            <v>1301-1030221EN</v>
          </cell>
          <cell r="C239" t="str">
            <v>M01</v>
          </cell>
        </row>
        <row r="240">
          <cell r="B240" t="str">
            <v>1301-1030450EN</v>
          </cell>
          <cell r="C240" t="str">
            <v>M01</v>
          </cell>
        </row>
        <row r="241">
          <cell r="B241" t="str">
            <v>1301-1030463EN</v>
          </cell>
          <cell r="C241" t="str">
            <v>M01</v>
          </cell>
        </row>
        <row r="242">
          <cell r="B242" t="str">
            <v>1301-1030476EN</v>
          </cell>
          <cell r="C242" t="str">
            <v>M01</v>
          </cell>
        </row>
        <row r="243">
          <cell r="B243" t="str">
            <v>1301-1030478EN</v>
          </cell>
          <cell r="C243" t="str">
            <v>M01</v>
          </cell>
        </row>
        <row r="244">
          <cell r="B244" t="str">
            <v>1301-1030479EN</v>
          </cell>
          <cell r="C244" t="str">
            <v>M01</v>
          </cell>
        </row>
        <row r="245">
          <cell r="B245" t="str">
            <v>1301-1040160-93EN</v>
          </cell>
          <cell r="C245" t="str">
            <v>M01</v>
          </cell>
        </row>
        <row r="246">
          <cell r="B246" t="str">
            <v>1301-1040160EN0093</v>
          </cell>
          <cell r="C246" t="str">
            <v>M01</v>
          </cell>
        </row>
        <row r="247">
          <cell r="B247" t="str">
            <v>1301-M020001-93</v>
          </cell>
          <cell r="C247" t="str">
            <v>M01</v>
          </cell>
        </row>
        <row r="248">
          <cell r="B248" t="str">
            <v>1301-M030001-93</v>
          </cell>
          <cell r="C248" t="str">
            <v>M01</v>
          </cell>
        </row>
        <row r="249">
          <cell r="B249" t="str">
            <v>1301-M030001-93/MX</v>
          </cell>
          <cell r="C249" t="str">
            <v>M01</v>
          </cell>
        </row>
        <row r="250">
          <cell r="B250" t="str">
            <v>1306-1040011EN</v>
          </cell>
          <cell r="C250" t="str">
            <v>M01</v>
          </cell>
        </row>
        <row r="251">
          <cell r="B251" t="str">
            <v>1307-1020069EN</v>
          </cell>
          <cell r="C251" t="str">
            <v>M01</v>
          </cell>
        </row>
        <row r="252">
          <cell r="B252" t="str">
            <v>1307-1020205EN</v>
          </cell>
          <cell r="C252" t="str">
            <v>M01</v>
          </cell>
        </row>
        <row r="253">
          <cell r="B253" t="str">
            <v>1307-1030122EN</v>
          </cell>
          <cell r="C253" t="str">
            <v>M01</v>
          </cell>
        </row>
        <row r="254">
          <cell r="B254" t="str">
            <v>1307-1040152EN</v>
          </cell>
          <cell r="C254" t="str">
            <v>M01</v>
          </cell>
        </row>
        <row r="255">
          <cell r="B255" t="str">
            <v>1308-0020340EN</v>
          </cell>
          <cell r="C255" t="str">
            <v>M01</v>
          </cell>
        </row>
        <row r="256">
          <cell r="B256" t="str">
            <v>1308-0033550EN</v>
          </cell>
          <cell r="C256" t="str">
            <v>M01</v>
          </cell>
        </row>
        <row r="257">
          <cell r="B257" t="str">
            <v>1318-1030018EN</v>
          </cell>
          <cell r="C257" t="str">
            <v>M01</v>
          </cell>
        </row>
        <row r="258">
          <cell r="B258" t="str">
            <v>1318-1030030EN</v>
          </cell>
          <cell r="C258" t="str">
            <v>M01</v>
          </cell>
        </row>
        <row r="259">
          <cell r="B259" t="str">
            <v>1318-1030054EN</v>
          </cell>
          <cell r="C259" t="str">
            <v>M01</v>
          </cell>
        </row>
        <row r="260">
          <cell r="B260" t="str">
            <v>1318-1030079EN</v>
          </cell>
          <cell r="C260" t="str">
            <v>M01</v>
          </cell>
        </row>
        <row r="261">
          <cell r="B261" t="str">
            <v>1318-1030113EN</v>
          </cell>
          <cell r="C261" t="str">
            <v>M01</v>
          </cell>
        </row>
        <row r="262">
          <cell r="B262" t="str">
            <v>1318-3030002EN</v>
          </cell>
          <cell r="C262" t="str">
            <v>M01</v>
          </cell>
        </row>
        <row r="263">
          <cell r="B263" t="str">
            <v>1318-3030003EN</v>
          </cell>
          <cell r="C263" t="str">
            <v>M01</v>
          </cell>
        </row>
        <row r="264">
          <cell r="B264" t="str">
            <v>1414-1010001</v>
          </cell>
          <cell r="C264" t="str">
            <v>M01</v>
          </cell>
        </row>
        <row r="265">
          <cell r="B265" t="str">
            <v>1414-1010011</v>
          </cell>
          <cell r="C265" t="str">
            <v>M01</v>
          </cell>
        </row>
        <row r="266">
          <cell r="B266" t="str">
            <v>1414-1010014</v>
          </cell>
          <cell r="C266" t="str">
            <v>M01</v>
          </cell>
        </row>
        <row r="267">
          <cell r="B267" t="str">
            <v>1414-1010022</v>
          </cell>
          <cell r="C267" t="str">
            <v>M01</v>
          </cell>
        </row>
        <row r="268">
          <cell r="B268" t="str">
            <v>1414-1030072</v>
          </cell>
          <cell r="C268" t="str">
            <v>M01</v>
          </cell>
        </row>
        <row r="269">
          <cell r="B269" t="str">
            <v>1414-1030102</v>
          </cell>
          <cell r="C269" t="str">
            <v>M01</v>
          </cell>
        </row>
        <row r="270">
          <cell r="B270" t="str">
            <v>1414-1030104</v>
          </cell>
          <cell r="C270" t="str">
            <v>M01</v>
          </cell>
        </row>
        <row r="271">
          <cell r="B271" t="str">
            <v>1414-1030143</v>
          </cell>
          <cell r="C271" t="str">
            <v>M01</v>
          </cell>
        </row>
        <row r="272">
          <cell r="B272" t="str">
            <v>1414-1YY0189</v>
          </cell>
          <cell r="C272" t="str">
            <v>M01</v>
          </cell>
        </row>
        <row r="273">
          <cell r="B273" t="str">
            <v>1414-1YY0190</v>
          </cell>
          <cell r="C273" t="str">
            <v>M01</v>
          </cell>
        </row>
        <row r="274">
          <cell r="B274" t="str">
            <v>1414-M020001</v>
          </cell>
          <cell r="C274" t="str">
            <v>M01</v>
          </cell>
        </row>
        <row r="275">
          <cell r="B275" t="str">
            <v>1414-M020002</v>
          </cell>
          <cell r="C275" t="str">
            <v>M01</v>
          </cell>
        </row>
        <row r="276">
          <cell r="B276" t="str">
            <v>1415-1020535EN</v>
          </cell>
          <cell r="C276" t="str">
            <v>M01</v>
          </cell>
        </row>
        <row r="277">
          <cell r="B277" t="str">
            <v>1415-1020989EN</v>
          </cell>
          <cell r="C277" t="str">
            <v>M01</v>
          </cell>
        </row>
        <row r="278">
          <cell r="B278" t="str">
            <v>1415-1021108</v>
          </cell>
          <cell r="C278" t="str">
            <v>M01</v>
          </cell>
        </row>
        <row r="279">
          <cell r="B279" t="str">
            <v>1415-1021108EN</v>
          </cell>
          <cell r="C279" t="str">
            <v>M01</v>
          </cell>
        </row>
        <row r="280">
          <cell r="B280" t="str">
            <v>1423-1040022EN</v>
          </cell>
          <cell r="C280" t="str">
            <v>M01</v>
          </cell>
        </row>
        <row r="281">
          <cell r="B281" t="str">
            <v>1423-1040023EN</v>
          </cell>
          <cell r="C281" t="str">
            <v>M01</v>
          </cell>
        </row>
        <row r="282">
          <cell r="B282" t="str">
            <v>1426-1030015EN</v>
          </cell>
          <cell r="C282" t="str">
            <v>M01</v>
          </cell>
        </row>
        <row r="283">
          <cell r="B283" t="str">
            <v>1426-1030016EN</v>
          </cell>
          <cell r="C283" t="str">
            <v>M01</v>
          </cell>
        </row>
        <row r="284">
          <cell r="B284" t="str">
            <v>1426-1030024EN</v>
          </cell>
          <cell r="C284" t="str">
            <v>M01</v>
          </cell>
        </row>
        <row r="285">
          <cell r="B285" t="str">
            <v>1426-1030036EN</v>
          </cell>
          <cell r="C285" t="str">
            <v>M01</v>
          </cell>
        </row>
        <row r="286">
          <cell r="B286" t="str">
            <v>1426-1030037EN</v>
          </cell>
          <cell r="C286" t="str">
            <v>M01</v>
          </cell>
        </row>
        <row r="287">
          <cell r="B287" t="str">
            <v>1426-1030044EN</v>
          </cell>
          <cell r="C287" t="str">
            <v>M01</v>
          </cell>
        </row>
        <row r="288">
          <cell r="B288" t="str">
            <v>1426-1030045EN</v>
          </cell>
          <cell r="C288" t="str">
            <v>M01</v>
          </cell>
        </row>
        <row r="289">
          <cell r="B289" t="str">
            <v>1426-3030001</v>
          </cell>
          <cell r="C289" t="str">
            <v>M01</v>
          </cell>
        </row>
        <row r="290">
          <cell r="B290" t="str">
            <v>1426-3030002</v>
          </cell>
          <cell r="C290" t="str">
            <v>M01</v>
          </cell>
        </row>
        <row r="291">
          <cell r="B291" t="str">
            <v>1438-1010101-MTEN</v>
          </cell>
          <cell r="C291" t="str">
            <v>M01</v>
          </cell>
        </row>
        <row r="292">
          <cell r="B292" t="str">
            <v>1438-1010107EN</v>
          </cell>
          <cell r="C292" t="str">
            <v>M01</v>
          </cell>
        </row>
        <row r="293">
          <cell r="B293" t="str">
            <v>1438-1010125EN</v>
          </cell>
          <cell r="C293" t="str">
            <v>M01</v>
          </cell>
        </row>
        <row r="294">
          <cell r="B294" t="str">
            <v>1438-1010126EN</v>
          </cell>
          <cell r="C294" t="str">
            <v>M01</v>
          </cell>
        </row>
        <row r="295">
          <cell r="B295" t="str">
            <v>1438-1010133EN</v>
          </cell>
          <cell r="C295" t="str">
            <v>M01</v>
          </cell>
        </row>
        <row r="296">
          <cell r="B296" t="str">
            <v>1458-1030043EN</v>
          </cell>
          <cell r="C296" t="str">
            <v>M01</v>
          </cell>
        </row>
        <row r="297">
          <cell r="B297" t="str">
            <v>1458-1030109EN</v>
          </cell>
          <cell r="C297" t="str">
            <v>M01</v>
          </cell>
        </row>
        <row r="298">
          <cell r="B298" t="str">
            <v>1458-1030110EN</v>
          </cell>
          <cell r="C298" t="str">
            <v>M01</v>
          </cell>
        </row>
        <row r="299">
          <cell r="B299" t="str">
            <v>1458-1030112</v>
          </cell>
          <cell r="C299" t="str">
            <v>M01</v>
          </cell>
        </row>
        <row r="300">
          <cell r="B300" t="str">
            <v>1458-1030113</v>
          </cell>
          <cell r="C300" t="str">
            <v>M01</v>
          </cell>
        </row>
        <row r="301">
          <cell r="B301" t="str">
            <v>1458-1030113EN</v>
          </cell>
          <cell r="C301" t="str">
            <v>M01</v>
          </cell>
        </row>
        <row r="302">
          <cell r="B302" t="str">
            <v>1458-1030114</v>
          </cell>
          <cell r="C302" t="str">
            <v>M01</v>
          </cell>
        </row>
        <row r="303">
          <cell r="B303" t="str">
            <v>1458-1030117</v>
          </cell>
          <cell r="C303" t="str">
            <v>M01</v>
          </cell>
        </row>
        <row r="304">
          <cell r="B304" t="str">
            <v>1458-1030117EN</v>
          </cell>
          <cell r="C304" t="str">
            <v>M01</v>
          </cell>
        </row>
        <row r="305">
          <cell r="B305" t="str">
            <v>1458-1030121EN</v>
          </cell>
          <cell r="C305" t="str">
            <v>M01</v>
          </cell>
        </row>
        <row r="306">
          <cell r="B306" t="str">
            <v>1458-1030127EN</v>
          </cell>
          <cell r="C306" t="str">
            <v>M01</v>
          </cell>
        </row>
        <row r="307">
          <cell r="B307" t="str">
            <v>1458-1030133EN</v>
          </cell>
          <cell r="C307" t="str">
            <v>M01</v>
          </cell>
        </row>
        <row r="308">
          <cell r="B308" t="str">
            <v>1458-1030144EN</v>
          </cell>
          <cell r="C308" t="str">
            <v>M01</v>
          </cell>
        </row>
        <row r="309">
          <cell r="B309" t="str">
            <v>1458-1030152EN</v>
          </cell>
          <cell r="C309" t="str">
            <v>M01</v>
          </cell>
        </row>
        <row r="310">
          <cell r="B310" t="str">
            <v>1459-1010012/MX</v>
          </cell>
          <cell r="C310" t="str">
            <v>M01</v>
          </cell>
        </row>
        <row r="311">
          <cell r="B311" t="str">
            <v>1459-1010013/MX</v>
          </cell>
          <cell r="C311" t="str">
            <v>M01</v>
          </cell>
        </row>
        <row r="312">
          <cell r="B312" t="str">
            <v>1459-1030040EN</v>
          </cell>
          <cell r="C312" t="str">
            <v>M01</v>
          </cell>
        </row>
        <row r="313">
          <cell r="B313" t="str">
            <v>1474-1030002</v>
          </cell>
          <cell r="C313" t="str">
            <v>M01</v>
          </cell>
        </row>
        <row r="314">
          <cell r="B314" t="str">
            <v>1474-1030002EN</v>
          </cell>
          <cell r="C314" t="str">
            <v>M01</v>
          </cell>
        </row>
        <row r="315">
          <cell r="B315" t="str">
            <v>1474-1030004</v>
          </cell>
          <cell r="C315" t="str">
            <v>M01</v>
          </cell>
        </row>
        <row r="316">
          <cell r="B316" t="str">
            <v>1474-1030007EN</v>
          </cell>
          <cell r="C316" t="str">
            <v>M01</v>
          </cell>
        </row>
        <row r="317">
          <cell r="B317" t="str">
            <v>1484-1030009</v>
          </cell>
          <cell r="C317" t="str">
            <v>M01</v>
          </cell>
        </row>
        <row r="318">
          <cell r="B318" t="str">
            <v>1484-1030009EN</v>
          </cell>
          <cell r="C318" t="str">
            <v>M01</v>
          </cell>
        </row>
        <row r="319">
          <cell r="B319" t="str">
            <v>1484-1030014</v>
          </cell>
          <cell r="C319" t="str">
            <v>M01</v>
          </cell>
        </row>
        <row r="320">
          <cell r="B320" t="str">
            <v>1484-1030014EN</v>
          </cell>
          <cell r="C320" t="str">
            <v>M01</v>
          </cell>
        </row>
        <row r="321">
          <cell r="B321" t="str">
            <v>1500-1020189</v>
          </cell>
          <cell r="C321" t="str">
            <v>M01</v>
          </cell>
        </row>
        <row r="322">
          <cell r="B322" t="str">
            <v>1500-1020220</v>
          </cell>
          <cell r="C322" t="str">
            <v>M01</v>
          </cell>
        </row>
        <row r="323">
          <cell r="B323" t="str">
            <v>1500-1020359</v>
          </cell>
          <cell r="C323" t="str">
            <v>M01</v>
          </cell>
        </row>
        <row r="324">
          <cell r="B324" t="str">
            <v>1500-1020548</v>
          </cell>
          <cell r="C324" t="str">
            <v>M01</v>
          </cell>
        </row>
        <row r="325">
          <cell r="B325" t="str">
            <v>1500-1030345</v>
          </cell>
          <cell r="C325" t="str">
            <v>M01</v>
          </cell>
        </row>
        <row r="326">
          <cell r="B326" t="str">
            <v>1500-1030346</v>
          </cell>
          <cell r="C326" t="str">
            <v>M01</v>
          </cell>
        </row>
        <row r="327">
          <cell r="B327" t="str">
            <v>1500-1030376</v>
          </cell>
          <cell r="C327" t="str">
            <v>M01</v>
          </cell>
        </row>
        <row r="328">
          <cell r="B328" t="str">
            <v>1500-1030459</v>
          </cell>
          <cell r="C328" t="str">
            <v>M01</v>
          </cell>
        </row>
        <row r="329">
          <cell r="B329" t="str">
            <v>1500-1030580</v>
          </cell>
          <cell r="C329" t="str">
            <v>M01</v>
          </cell>
        </row>
        <row r="330">
          <cell r="B330" t="str">
            <v>1500-1030609</v>
          </cell>
          <cell r="C330" t="str">
            <v>M01</v>
          </cell>
        </row>
        <row r="331">
          <cell r="B331" t="str">
            <v>1500-1030610</v>
          </cell>
          <cell r="C331" t="str">
            <v>M01</v>
          </cell>
        </row>
        <row r="332">
          <cell r="B332" t="str">
            <v>1500-1030611</v>
          </cell>
          <cell r="C332" t="str">
            <v>M01</v>
          </cell>
        </row>
        <row r="333">
          <cell r="B333" t="str">
            <v>1500-1030618</v>
          </cell>
          <cell r="C333" t="str">
            <v>M01</v>
          </cell>
        </row>
        <row r="334">
          <cell r="B334" t="str">
            <v>1500-1030619</v>
          </cell>
          <cell r="C334" t="str">
            <v>M01</v>
          </cell>
        </row>
        <row r="335">
          <cell r="B335" t="str">
            <v>1500-1030620</v>
          </cell>
          <cell r="C335" t="str">
            <v>M01</v>
          </cell>
        </row>
        <row r="336">
          <cell r="B336" t="str">
            <v>1500-1030621</v>
          </cell>
          <cell r="C336" t="str">
            <v>M01</v>
          </cell>
        </row>
        <row r="337">
          <cell r="B337" t="str">
            <v>1500-1030622</v>
          </cell>
          <cell r="C337" t="str">
            <v>M01</v>
          </cell>
        </row>
        <row r="338">
          <cell r="B338" t="str">
            <v>1500-1030640</v>
          </cell>
          <cell r="C338" t="str">
            <v>M01</v>
          </cell>
        </row>
        <row r="339">
          <cell r="B339" t="str">
            <v>1500-1030644</v>
          </cell>
          <cell r="C339" t="str">
            <v>M01</v>
          </cell>
        </row>
        <row r="340">
          <cell r="B340" t="str">
            <v>1500-1030679</v>
          </cell>
          <cell r="C340" t="str">
            <v>M01</v>
          </cell>
        </row>
        <row r="341">
          <cell r="B341" t="str">
            <v>1500-1YY0955</v>
          </cell>
          <cell r="C341" t="str">
            <v>M01</v>
          </cell>
        </row>
        <row r="342">
          <cell r="B342" t="str">
            <v>1500-1YY1824</v>
          </cell>
          <cell r="C342" t="str">
            <v>M01</v>
          </cell>
        </row>
        <row r="343">
          <cell r="B343" t="str">
            <v>1500-M020001</v>
          </cell>
          <cell r="C343" t="str">
            <v>M01</v>
          </cell>
        </row>
        <row r="344">
          <cell r="B344" t="str">
            <v>1500-M020002</v>
          </cell>
          <cell r="C344" t="str">
            <v>M01</v>
          </cell>
        </row>
        <row r="345">
          <cell r="B345" t="str">
            <v>1500-M020003</v>
          </cell>
          <cell r="C345" t="str">
            <v>M01</v>
          </cell>
        </row>
        <row r="346">
          <cell r="B346" t="str">
            <v>1500-M020004</v>
          </cell>
          <cell r="C346" t="str">
            <v>M01</v>
          </cell>
        </row>
        <row r="347">
          <cell r="B347" t="str">
            <v>1500-M020005</v>
          </cell>
          <cell r="C347" t="str">
            <v>M01</v>
          </cell>
        </row>
        <row r="348">
          <cell r="B348" t="str">
            <v>1500-M020006</v>
          </cell>
          <cell r="C348" t="str">
            <v>M01</v>
          </cell>
        </row>
        <row r="349">
          <cell r="B349" t="str">
            <v>1500-M020008</v>
          </cell>
          <cell r="C349" t="str">
            <v>M01</v>
          </cell>
        </row>
        <row r="350">
          <cell r="B350" t="str">
            <v>1500-M030002</v>
          </cell>
          <cell r="C350" t="str">
            <v>M01</v>
          </cell>
        </row>
        <row r="351">
          <cell r="B351" t="str">
            <v>1503-1020082</v>
          </cell>
          <cell r="C351" t="str">
            <v>M01</v>
          </cell>
        </row>
        <row r="352">
          <cell r="B352" t="str">
            <v>1503-1020083</v>
          </cell>
          <cell r="C352" t="str">
            <v>M01</v>
          </cell>
        </row>
        <row r="353">
          <cell r="B353" t="str">
            <v>1504-1030236</v>
          </cell>
          <cell r="C353" t="str">
            <v>M01</v>
          </cell>
        </row>
        <row r="354">
          <cell r="B354" t="str">
            <v>1504-1030278</v>
          </cell>
          <cell r="C354" t="str">
            <v>M01</v>
          </cell>
        </row>
        <row r="355">
          <cell r="B355" t="str">
            <v>1504-1030281</v>
          </cell>
          <cell r="C355" t="str">
            <v>M01</v>
          </cell>
        </row>
        <row r="356">
          <cell r="B356" t="str">
            <v>1504-1030291</v>
          </cell>
          <cell r="C356" t="str">
            <v>M01</v>
          </cell>
        </row>
        <row r="357">
          <cell r="B357" t="str">
            <v>1504-1030293</v>
          </cell>
          <cell r="C357" t="str">
            <v>M01</v>
          </cell>
        </row>
        <row r="358">
          <cell r="B358" t="str">
            <v>1504-1030294</v>
          </cell>
          <cell r="C358" t="str">
            <v>M01</v>
          </cell>
        </row>
        <row r="359">
          <cell r="B359" t="str">
            <v>1504-1030295</v>
          </cell>
          <cell r="C359" t="str">
            <v>M01</v>
          </cell>
        </row>
        <row r="360">
          <cell r="B360" t="str">
            <v>1504-1030296</v>
          </cell>
          <cell r="C360" t="str">
            <v>M01</v>
          </cell>
        </row>
        <row r="361">
          <cell r="B361" t="str">
            <v>1504-1030297</v>
          </cell>
          <cell r="C361" t="str">
            <v>M01</v>
          </cell>
        </row>
        <row r="362">
          <cell r="B362" t="str">
            <v>1504-1030298</v>
          </cell>
          <cell r="C362" t="str">
            <v>M01</v>
          </cell>
        </row>
        <row r="363">
          <cell r="B363" t="str">
            <v>1504-1040054</v>
          </cell>
          <cell r="C363" t="str">
            <v>M01</v>
          </cell>
        </row>
        <row r="364">
          <cell r="B364" t="str">
            <v>1504-1YY0624</v>
          </cell>
          <cell r="C364" t="str">
            <v>M01</v>
          </cell>
        </row>
        <row r="365">
          <cell r="B365" t="str">
            <v>1505-1030098</v>
          </cell>
          <cell r="C365" t="str">
            <v>M01</v>
          </cell>
        </row>
        <row r="366">
          <cell r="B366" t="str">
            <v>1505-1030115</v>
          </cell>
          <cell r="C366" t="str">
            <v>M01</v>
          </cell>
        </row>
        <row r="367">
          <cell r="B367" t="str">
            <v>1514-1030004</v>
          </cell>
          <cell r="C367" t="str">
            <v>M01</v>
          </cell>
        </row>
        <row r="368">
          <cell r="B368" t="str">
            <v>1514-1030005</v>
          </cell>
          <cell r="C368" t="str">
            <v>M01</v>
          </cell>
        </row>
        <row r="369">
          <cell r="B369" t="str">
            <v>1514-1030006</v>
          </cell>
          <cell r="C369" t="str">
            <v>M01</v>
          </cell>
        </row>
        <row r="370">
          <cell r="B370" t="str">
            <v>1515-1030002</v>
          </cell>
          <cell r="C370" t="str">
            <v>M01</v>
          </cell>
        </row>
        <row r="371">
          <cell r="B371" t="str">
            <v>1515-1030003</v>
          </cell>
          <cell r="C371" t="str">
            <v>M01</v>
          </cell>
        </row>
        <row r="372">
          <cell r="B372" t="str">
            <v>1515-1030004</v>
          </cell>
          <cell r="C372" t="str">
            <v>M01</v>
          </cell>
        </row>
        <row r="373">
          <cell r="B373" t="str">
            <v>1515-1030005</v>
          </cell>
          <cell r="C373" t="str">
            <v>M01</v>
          </cell>
        </row>
        <row r="374">
          <cell r="B374" t="str">
            <v>1515-1030006</v>
          </cell>
          <cell r="C374" t="str">
            <v>M01</v>
          </cell>
        </row>
        <row r="375">
          <cell r="B375" t="str">
            <v>1515-1030007</v>
          </cell>
          <cell r="C375" t="str">
            <v>M01</v>
          </cell>
        </row>
        <row r="376">
          <cell r="B376" t="str">
            <v>1515-1030008</v>
          </cell>
          <cell r="C376" t="str">
            <v>M01</v>
          </cell>
        </row>
        <row r="377">
          <cell r="B377" t="str">
            <v>1515-1030009</v>
          </cell>
          <cell r="C377" t="str">
            <v>M01</v>
          </cell>
        </row>
        <row r="378">
          <cell r="B378" t="str">
            <v>1515-1030010</v>
          </cell>
          <cell r="C378" t="str">
            <v>M01</v>
          </cell>
        </row>
        <row r="379">
          <cell r="B379" t="str">
            <v>1515-1030011</v>
          </cell>
          <cell r="C379" t="str">
            <v>M01</v>
          </cell>
        </row>
        <row r="380">
          <cell r="B380" t="str">
            <v>1532-1030008</v>
          </cell>
          <cell r="C380" t="str">
            <v>M01</v>
          </cell>
        </row>
        <row r="381">
          <cell r="B381" t="str">
            <v>1532-1030009</v>
          </cell>
          <cell r="C381" t="str">
            <v>M01</v>
          </cell>
        </row>
        <row r="382">
          <cell r="B382" t="str">
            <v>1532-1030010</v>
          </cell>
          <cell r="C382" t="str">
            <v>M01</v>
          </cell>
        </row>
        <row r="383">
          <cell r="B383" t="str">
            <v>1532-1030011</v>
          </cell>
          <cell r="C383" t="str">
            <v>M01</v>
          </cell>
        </row>
        <row r="384">
          <cell r="B384" t="str">
            <v>1532-1030012</v>
          </cell>
          <cell r="C384" t="str">
            <v>M01</v>
          </cell>
        </row>
        <row r="385">
          <cell r="B385" t="str">
            <v>1532-1030013</v>
          </cell>
          <cell r="C385" t="str">
            <v>M01</v>
          </cell>
        </row>
        <row r="386">
          <cell r="B386" t="str">
            <v>1532-1030014</v>
          </cell>
          <cell r="C386" t="str">
            <v>M01</v>
          </cell>
        </row>
        <row r="387">
          <cell r="B387" t="str">
            <v>1532-1030015</v>
          </cell>
          <cell r="C387" t="str">
            <v>M01</v>
          </cell>
        </row>
        <row r="388">
          <cell r="B388" t="str">
            <v>1532-1030016</v>
          </cell>
          <cell r="C388" t="str">
            <v>M01</v>
          </cell>
        </row>
        <row r="389">
          <cell r="B389" t="str">
            <v>1532-1030017</v>
          </cell>
          <cell r="C389" t="str">
            <v>M01</v>
          </cell>
        </row>
        <row r="390">
          <cell r="B390" t="str">
            <v>1532-1030018</v>
          </cell>
          <cell r="C390" t="str">
            <v>M01</v>
          </cell>
        </row>
        <row r="391">
          <cell r="B391" t="str">
            <v>1532-1030019</v>
          </cell>
          <cell r="C391" t="str">
            <v>M01</v>
          </cell>
        </row>
        <row r="392">
          <cell r="B392" t="str">
            <v>1532-1030020</v>
          </cell>
          <cell r="C392" t="str">
            <v>M01</v>
          </cell>
        </row>
        <row r="393">
          <cell r="B393" t="str">
            <v>1533-1020007</v>
          </cell>
          <cell r="C393" t="str">
            <v>M01</v>
          </cell>
        </row>
        <row r="394">
          <cell r="B394" t="str">
            <v>1533-1020010</v>
          </cell>
          <cell r="C394" t="str">
            <v>M01</v>
          </cell>
        </row>
        <row r="395">
          <cell r="B395" t="str">
            <v>1533-1030001</v>
          </cell>
          <cell r="C395" t="str">
            <v>M01</v>
          </cell>
        </row>
        <row r="396">
          <cell r="B396" t="str">
            <v>1533-1030014</v>
          </cell>
          <cell r="C396" t="str">
            <v>M01</v>
          </cell>
        </row>
        <row r="397">
          <cell r="B397" t="str">
            <v>1533-1030015</v>
          </cell>
          <cell r="C397" t="str">
            <v>M01</v>
          </cell>
        </row>
        <row r="398">
          <cell r="B398" t="str">
            <v>1533-10C0018</v>
          </cell>
          <cell r="C398" t="str">
            <v>M01</v>
          </cell>
        </row>
        <row r="399">
          <cell r="B399" t="str">
            <v>1533-10P0050</v>
          </cell>
          <cell r="C399" t="str">
            <v>M01</v>
          </cell>
        </row>
        <row r="400">
          <cell r="B400" t="str">
            <v>1533-1130009</v>
          </cell>
          <cell r="C400" t="str">
            <v>M01</v>
          </cell>
        </row>
        <row r="401">
          <cell r="B401" t="str">
            <v>1533-1140008</v>
          </cell>
          <cell r="C401" t="str">
            <v>M01</v>
          </cell>
        </row>
        <row r="402">
          <cell r="B402" t="str">
            <v>1533-11K0001</v>
          </cell>
          <cell r="C402" t="str">
            <v>M01</v>
          </cell>
        </row>
        <row r="403">
          <cell r="B403" t="str">
            <v>1533-1YY0013</v>
          </cell>
          <cell r="C403" t="str">
            <v>M01</v>
          </cell>
        </row>
        <row r="404">
          <cell r="B404" t="str">
            <v>1533-1YY0017</v>
          </cell>
          <cell r="C404" t="str">
            <v>M01</v>
          </cell>
        </row>
        <row r="405">
          <cell r="B405" t="str">
            <v>1539-1060007</v>
          </cell>
          <cell r="C405" t="str">
            <v>M01</v>
          </cell>
        </row>
        <row r="406">
          <cell r="B406" t="str">
            <v>1539-10P0010</v>
          </cell>
          <cell r="C406" t="str">
            <v>M01</v>
          </cell>
        </row>
        <row r="407">
          <cell r="B407" t="str">
            <v>1539-1YY0047</v>
          </cell>
          <cell r="C407" t="str">
            <v>M01</v>
          </cell>
        </row>
        <row r="408">
          <cell r="B408" t="str">
            <v>1543-1030001</v>
          </cell>
          <cell r="C408" t="str">
            <v>M01</v>
          </cell>
        </row>
        <row r="409">
          <cell r="B409" t="str">
            <v>1543-1030004</v>
          </cell>
          <cell r="C409" t="str">
            <v>M01</v>
          </cell>
        </row>
        <row r="410">
          <cell r="B410" t="str">
            <v>1543-1030005</v>
          </cell>
          <cell r="C410" t="str">
            <v>M01</v>
          </cell>
        </row>
        <row r="411">
          <cell r="B411" t="str">
            <v>1543-1030006</v>
          </cell>
          <cell r="C411" t="str">
            <v>M01</v>
          </cell>
        </row>
        <row r="412">
          <cell r="B412" t="str">
            <v>1543-1030007</v>
          </cell>
          <cell r="C412" t="str">
            <v>M01</v>
          </cell>
        </row>
        <row r="413">
          <cell r="B413" t="str">
            <v>1543-1030008</v>
          </cell>
          <cell r="C413" t="str">
            <v>M01</v>
          </cell>
        </row>
        <row r="414">
          <cell r="B414" t="str">
            <v>1543-1030009</v>
          </cell>
          <cell r="C414" t="str">
            <v>M01</v>
          </cell>
        </row>
        <row r="415">
          <cell r="B415" t="str">
            <v>1543-1030010</v>
          </cell>
          <cell r="C415" t="str">
            <v>M01</v>
          </cell>
        </row>
        <row r="416">
          <cell r="B416" t="str">
            <v>1543-1030011</v>
          </cell>
          <cell r="C416" t="str">
            <v>M01</v>
          </cell>
        </row>
        <row r="417">
          <cell r="B417" t="str">
            <v>1543-1030012</v>
          </cell>
          <cell r="C417" t="str">
            <v>M01</v>
          </cell>
        </row>
        <row r="418">
          <cell r="B418" t="str">
            <v>1560-1020016</v>
          </cell>
          <cell r="C418" t="str">
            <v>M01</v>
          </cell>
        </row>
        <row r="419">
          <cell r="B419" t="str">
            <v>1572-1020006</v>
          </cell>
          <cell r="C419" t="str">
            <v>M01</v>
          </cell>
        </row>
        <row r="420">
          <cell r="B420" t="str">
            <v>1616-1020010EN</v>
          </cell>
          <cell r="C420" t="str">
            <v>M01</v>
          </cell>
        </row>
        <row r="421">
          <cell r="B421" t="str">
            <v>1624-0023120-0000EN</v>
          </cell>
          <cell r="C421" t="str">
            <v>M01</v>
          </cell>
        </row>
        <row r="422">
          <cell r="B422" t="str">
            <v>1624-0023120EN</v>
          </cell>
          <cell r="C422" t="str">
            <v>M01</v>
          </cell>
        </row>
        <row r="423">
          <cell r="B423" t="str">
            <v>1624-1010005EP</v>
          </cell>
          <cell r="C423" t="str">
            <v>M01</v>
          </cell>
        </row>
        <row r="424">
          <cell r="B424" t="str">
            <v>1624-1030038EN</v>
          </cell>
          <cell r="C424" t="str">
            <v>M01</v>
          </cell>
        </row>
        <row r="425">
          <cell r="B425" t="str">
            <v>1624-1030042EN</v>
          </cell>
          <cell r="C425" t="str">
            <v>M01</v>
          </cell>
        </row>
        <row r="426">
          <cell r="B426" t="str">
            <v>1720-1040007</v>
          </cell>
          <cell r="C426" t="str">
            <v>M01</v>
          </cell>
        </row>
        <row r="427">
          <cell r="B427" t="str">
            <v>1720-1040008</v>
          </cell>
          <cell r="C427" t="str">
            <v>M01</v>
          </cell>
        </row>
        <row r="428">
          <cell r="B428" t="str">
            <v>1916-1010001EN/MX</v>
          </cell>
          <cell r="C428" t="str">
            <v>M01</v>
          </cell>
        </row>
        <row r="429">
          <cell r="B429" t="str">
            <v>1916-1010002E1</v>
          </cell>
          <cell r="C429" t="str">
            <v>M01</v>
          </cell>
        </row>
        <row r="430">
          <cell r="B430" t="str">
            <v>1916-1010002E2</v>
          </cell>
          <cell r="C430" t="str">
            <v>M01</v>
          </cell>
        </row>
        <row r="431">
          <cell r="B431" t="str">
            <v>1916-1010002EN/MX</v>
          </cell>
          <cell r="C431" t="str">
            <v>M01</v>
          </cell>
        </row>
        <row r="432">
          <cell r="B432" t="str">
            <v>1916-1010002EP/MX</v>
          </cell>
          <cell r="C432" t="str">
            <v>M01</v>
          </cell>
        </row>
        <row r="433">
          <cell r="B433" t="str">
            <v>1916-1010004E1</v>
          </cell>
          <cell r="C433" t="str">
            <v>M01</v>
          </cell>
        </row>
        <row r="434">
          <cell r="B434" t="str">
            <v>1916-1010004E2</v>
          </cell>
          <cell r="C434" t="str">
            <v>M01</v>
          </cell>
        </row>
        <row r="435">
          <cell r="B435" t="str">
            <v>1916-1010004EN</v>
          </cell>
          <cell r="C435" t="str">
            <v>M01</v>
          </cell>
        </row>
        <row r="436">
          <cell r="B436" t="str">
            <v>1916-1010005EN</v>
          </cell>
          <cell r="C436" t="str">
            <v>M01</v>
          </cell>
        </row>
        <row r="437">
          <cell r="B437" t="str">
            <v>1916-1010006EN</v>
          </cell>
          <cell r="C437" t="str">
            <v>M01</v>
          </cell>
        </row>
        <row r="438">
          <cell r="B438" t="str">
            <v>1999-1010399E1</v>
          </cell>
          <cell r="C438" t="str">
            <v>M01</v>
          </cell>
        </row>
        <row r="439">
          <cell r="B439" t="str">
            <v>1999-1010399EN/HS</v>
          </cell>
          <cell r="C439" t="str">
            <v>M01</v>
          </cell>
        </row>
        <row r="440">
          <cell r="B440" t="str">
            <v>1999-1031042</v>
          </cell>
          <cell r="C440" t="str">
            <v>M01</v>
          </cell>
        </row>
        <row r="441">
          <cell r="B441" t="str">
            <v>1999-1031043</v>
          </cell>
          <cell r="C441" t="str">
            <v>M01</v>
          </cell>
        </row>
        <row r="442">
          <cell r="B442" t="str">
            <v>1999-1031048</v>
          </cell>
          <cell r="C442" t="str">
            <v>M01</v>
          </cell>
        </row>
        <row r="443">
          <cell r="B443" t="str">
            <v>1999-1031059AN</v>
          </cell>
          <cell r="C443" t="str">
            <v>M01</v>
          </cell>
        </row>
        <row r="444">
          <cell r="B444" t="str">
            <v>1999-1031206</v>
          </cell>
          <cell r="C444" t="str">
            <v>M01</v>
          </cell>
        </row>
        <row r="445">
          <cell r="B445" t="str">
            <v>1999-1031208</v>
          </cell>
          <cell r="C445" t="str">
            <v>M01</v>
          </cell>
        </row>
        <row r="446">
          <cell r="B446" t="str">
            <v>1999-1031383EN</v>
          </cell>
          <cell r="C446" t="str">
            <v>M01</v>
          </cell>
        </row>
        <row r="447">
          <cell r="B447" t="str">
            <v>1999-1031390</v>
          </cell>
          <cell r="C447" t="str">
            <v>M01</v>
          </cell>
        </row>
        <row r="448">
          <cell r="B448" t="str">
            <v>1999-1031431EN</v>
          </cell>
          <cell r="C448" t="str">
            <v>M01</v>
          </cell>
        </row>
        <row r="449">
          <cell r="B449" t="str">
            <v>1999-1031491EN</v>
          </cell>
          <cell r="C449" t="str">
            <v>M01</v>
          </cell>
        </row>
        <row r="450">
          <cell r="B450" t="str">
            <v>1999-1031492EN</v>
          </cell>
          <cell r="C450" t="str">
            <v>M01</v>
          </cell>
        </row>
        <row r="451">
          <cell r="B451" t="str">
            <v>1999-1031497EN</v>
          </cell>
          <cell r="C451" t="str">
            <v>M01</v>
          </cell>
        </row>
        <row r="452">
          <cell r="B452" t="str">
            <v>1999-1031512EN</v>
          </cell>
          <cell r="C452" t="str">
            <v>M01</v>
          </cell>
        </row>
        <row r="453">
          <cell r="B453" t="str">
            <v>1999-1040261EN/MX</v>
          </cell>
          <cell r="C453" t="str">
            <v>M01</v>
          </cell>
        </row>
        <row r="454">
          <cell r="B454" t="str">
            <v>1999-1040262EN/MX</v>
          </cell>
          <cell r="C454" t="str">
            <v>M01</v>
          </cell>
        </row>
        <row r="455">
          <cell r="B455" t="str">
            <v>1999-1WP0043AN</v>
          </cell>
          <cell r="C455" t="str">
            <v>M01</v>
          </cell>
        </row>
        <row r="456">
          <cell r="B456" t="str">
            <v>1999-1WP0044AN</v>
          </cell>
          <cell r="C456" t="str">
            <v>M01</v>
          </cell>
        </row>
        <row r="457">
          <cell r="B457" t="str">
            <v>1999-1WP0045AN</v>
          </cell>
          <cell r="C457" t="str">
            <v>M01</v>
          </cell>
        </row>
        <row r="458">
          <cell r="B458" t="str">
            <v>1999-1WP0046AN</v>
          </cell>
          <cell r="C458" t="str">
            <v>M01</v>
          </cell>
        </row>
        <row r="459">
          <cell r="B459" t="str">
            <v>1999-1WP0052AN</v>
          </cell>
          <cell r="C459" t="str">
            <v>M01</v>
          </cell>
        </row>
        <row r="460">
          <cell r="B460" t="str">
            <v>1999-1WP0055AN</v>
          </cell>
          <cell r="C460" t="str">
            <v>M01</v>
          </cell>
        </row>
        <row r="461">
          <cell r="B461" t="str">
            <v>1999-1WP0056AN</v>
          </cell>
          <cell r="C461" t="str">
            <v>M01</v>
          </cell>
        </row>
        <row r="462">
          <cell r="B462" t="str">
            <v>1999-1WP0063AN</v>
          </cell>
          <cell r="C462" t="str">
            <v>M01</v>
          </cell>
        </row>
        <row r="463">
          <cell r="B463" t="str">
            <v>1999-1WP0071E1</v>
          </cell>
          <cell r="C463" t="str">
            <v>M01</v>
          </cell>
        </row>
        <row r="464">
          <cell r="B464" t="str">
            <v>1999-1WP0095EN/MX</v>
          </cell>
          <cell r="C464" t="str">
            <v>M01</v>
          </cell>
        </row>
        <row r="465">
          <cell r="B465" t="str">
            <v>1999-1WP0101AN</v>
          </cell>
          <cell r="C465" t="str">
            <v>M01</v>
          </cell>
        </row>
        <row r="466">
          <cell r="B466" t="str">
            <v>1999-1WP0105EN</v>
          </cell>
          <cell r="C466" t="str">
            <v>M01</v>
          </cell>
        </row>
        <row r="467">
          <cell r="B467" t="str">
            <v>1999-1WP0111EN</v>
          </cell>
          <cell r="C467" t="str">
            <v>M01</v>
          </cell>
        </row>
        <row r="468">
          <cell r="B468" t="str">
            <v>1999-1WP0112EN</v>
          </cell>
          <cell r="C468" t="str">
            <v>M01</v>
          </cell>
        </row>
        <row r="469">
          <cell r="B469" t="str">
            <v>1999-1WP0113EN</v>
          </cell>
          <cell r="C469" t="str">
            <v>M01</v>
          </cell>
        </row>
        <row r="470">
          <cell r="B470" t="str">
            <v>1999-1WP0114AN</v>
          </cell>
          <cell r="C470" t="str">
            <v>M01</v>
          </cell>
        </row>
        <row r="471">
          <cell r="B471" t="str">
            <v>1999-1WP0122EN</v>
          </cell>
          <cell r="C471" t="str">
            <v>M01</v>
          </cell>
        </row>
        <row r="472">
          <cell r="B472" t="str">
            <v>1999-1WP0123EN</v>
          </cell>
          <cell r="C472" t="str">
            <v>M01</v>
          </cell>
        </row>
        <row r="473">
          <cell r="B473" t="str">
            <v>1999-1WP0127EN</v>
          </cell>
          <cell r="C473" t="str">
            <v>M01</v>
          </cell>
        </row>
        <row r="474">
          <cell r="B474" t="str">
            <v>1999-1WP0130EN</v>
          </cell>
          <cell r="C474" t="str">
            <v>M01</v>
          </cell>
        </row>
        <row r="475">
          <cell r="B475" t="str">
            <v>1999-1WP0134EN</v>
          </cell>
          <cell r="C475" t="str">
            <v>M01</v>
          </cell>
        </row>
        <row r="476">
          <cell r="B476" t="str">
            <v>1999-1WP0135EN</v>
          </cell>
          <cell r="C476" t="str">
            <v>M01</v>
          </cell>
        </row>
        <row r="477">
          <cell r="B477" t="str">
            <v>1999-1WP0136EN</v>
          </cell>
          <cell r="C477" t="str">
            <v>M01</v>
          </cell>
        </row>
        <row r="478">
          <cell r="B478" t="str">
            <v>1999-1WP0142EN</v>
          </cell>
          <cell r="C478" t="str">
            <v>M01</v>
          </cell>
        </row>
        <row r="479">
          <cell r="B479" t="str">
            <v>1999-1WP0143EN</v>
          </cell>
          <cell r="C479" t="str">
            <v>M01</v>
          </cell>
        </row>
        <row r="480">
          <cell r="B480" t="str">
            <v>1999-1WP0144EN</v>
          </cell>
          <cell r="C480" t="str">
            <v>M01</v>
          </cell>
        </row>
        <row r="481">
          <cell r="B481" t="str">
            <v>1999-1WP0145EN</v>
          </cell>
          <cell r="C481" t="str">
            <v>M01</v>
          </cell>
        </row>
        <row r="482">
          <cell r="B482" t="str">
            <v>1999-M030001EN</v>
          </cell>
          <cell r="C482" t="str">
            <v>M01</v>
          </cell>
        </row>
        <row r="483">
          <cell r="B483" t="str">
            <v>20011-22600EP</v>
          </cell>
          <cell r="C483" t="str">
            <v>M01</v>
          </cell>
        </row>
        <row r="484">
          <cell r="B484" t="str">
            <v>20340-30800/EP</v>
          </cell>
          <cell r="C484" t="str">
            <v>M01</v>
          </cell>
        </row>
        <row r="485">
          <cell r="B485" t="str">
            <v>20420-22700/EP</v>
          </cell>
          <cell r="C485" t="str">
            <v>M01</v>
          </cell>
        </row>
        <row r="486">
          <cell r="B486" t="str">
            <v>20710-51100</v>
          </cell>
          <cell r="C486" t="str">
            <v>M01</v>
          </cell>
        </row>
        <row r="487">
          <cell r="B487" t="str">
            <v>20710-52100</v>
          </cell>
          <cell r="C487" t="str">
            <v>M01</v>
          </cell>
        </row>
        <row r="488">
          <cell r="B488" t="str">
            <v>20710-53900</v>
          </cell>
          <cell r="C488" t="str">
            <v>M01</v>
          </cell>
        </row>
        <row r="489">
          <cell r="B489" t="str">
            <v>20711-52100</v>
          </cell>
          <cell r="C489" t="str">
            <v>M01</v>
          </cell>
        </row>
        <row r="490">
          <cell r="B490" t="str">
            <v>21100-57200</v>
          </cell>
          <cell r="C490" t="str">
            <v>M01</v>
          </cell>
        </row>
        <row r="491">
          <cell r="B491" t="str">
            <v>22070-10800EP</v>
          </cell>
          <cell r="C491" t="str">
            <v>M01</v>
          </cell>
        </row>
        <row r="492">
          <cell r="B492" t="str">
            <v>33100-10818EP</v>
          </cell>
          <cell r="C492" t="str">
            <v>M01</v>
          </cell>
        </row>
        <row r="493">
          <cell r="B493" t="str">
            <v>33550-30800EP</v>
          </cell>
          <cell r="C493" t="str">
            <v>M01</v>
          </cell>
        </row>
        <row r="494">
          <cell r="B494" t="str">
            <v>35030-11000EP</v>
          </cell>
          <cell r="C494" t="str">
            <v>M01</v>
          </cell>
        </row>
        <row r="495">
          <cell r="B495" t="str">
            <v>35611-50000</v>
          </cell>
          <cell r="C495" t="str">
            <v>M01</v>
          </cell>
        </row>
        <row r="496">
          <cell r="B496" t="str">
            <v>35710-20400/EP</v>
          </cell>
          <cell r="C496" t="str">
            <v>M01</v>
          </cell>
        </row>
        <row r="497">
          <cell r="B497" t="str">
            <v>37210-10900EP</v>
          </cell>
          <cell r="C497" t="str">
            <v>M01</v>
          </cell>
        </row>
        <row r="498">
          <cell r="B498" t="str">
            <v>37210-25356/EP</v>
          </cell>
          <cell r="C498" t="str">
            <v>M01</v>
          </cell>
        </row>
        <row r="499">
          <cell r="B499" t="str">
            <v>37350-10100/EP</v>
          </cell>
          <cell r="C499" t="str">
            <v>M01</v>
          </cell>
        </row>
        <row r="500">
          <cell r="B500" t="str">
            <v>39190-10200EN</v>
          </cell>
          <cell r="C500" t="str">
            <v>M01</v>
          </cell>
        </row>
        <row r="501">
          <cell r="B501" t="str">
            <v>64330-50900</v>
          </cell>
          <cell r="C501" t="str">
            <v>M01</v>
          </cell>
        </row>
        <row r="502">
          <cell r="B502" t="str">
            <v>98200-50900</v>
          </cell>
          <cell r="C502" t="str">
            <v>M01</v>
          </cell>
        </row>
        <row r="503">
          <cell r="B503" t="str">
            <v>C5B60-30100EN</v>
          </cell>
          <cell r="C503" t="str">
            <v>M01</v>
          </cell>
        </row>
        <row r="504">
          <cell r="B504" t="str">
            <v>C5B6D-30100EN</v>
          </cell>
          <cell r="C504" t="str">
            <v>M01</v>
          </cell>
        </row>
        <row r="505">
          <cell r="B505" t="str">
            <v>CPCBCG150/2/EP</v>
          </cell>
          <cell r="C505" t="str">
            <v>M01</v>
          </cell>
        </row>
        <row r="506">
          <cell r="B506" t="str">
            <v>CPCBCG240EP</v>
          </cell>
          <cell r="C506" t="str">
            <v>M01</v>
          </cell>
        </row>
        <row r="507">
          <cell r="B507" t="str">
            <v>CPCBCG341/2EN</v>
          </cell>
          <cell r="C507" t="str">
            <v>M01</v>
          </cell>
        </row>
        <row r="508">
          <cell r="B508" t="str">
            <v>CPLBPA004/1</v>
          </cell>
          <cell r="C508" t="str">
            <v>M01</v>
          </cell>
        </row>
        <row r="509">
          <cell r="B509" t="str">
            <v>CPLBPA006/1</v>
          </cell>
          <cell r="C509" t="str">
            <v>M01</v>
          </cell>
        </row>
        <row r="510">
          <cell r="B510" t="str">
            <v>CPPKBX005</v>
          </cell>
          <cell r="C510" t="str">
            <v>M01</v>
          </cell>
        </row>
        <row r="511">
          <cell r="B511" t="str">
            <v>CPPKPB005/1</v>
          </cell>
          <cell r="C511" t="str">
            <v>M01</v>
          </cell>
        </row>
        <row r="512">
          <cell r="B512" t="str">
            <v>CPPKPC025/1</v>
          </cell>
          <cell r="C512" t="str">
            <v>M01</v>
          </cell>
        </row>
        <row r="513">
          <cell r="B513" t="str">
            <v>CPPKPC031/1</v>
          </cell>
          <cell r="C513" t="str">
            <v>M01</v>
          </cell>
        </row>
        <row r="514">
          <cell r="B514" t="str">
            <v>CPPKPC038/1</v>
          </cell>
          <cell r="C514" t="str">
            <v>M01</v>
          </cell>
        </row>
        <row r="515">
          <cell r="B515" t="str">
            <v>CPPKPG001</v>
          </cell>
          <cell r="C515" t="str">
            <v>M01</v>
          </cell>
        </row>
        <row r="516">
          <cell r="B516" t="str">
            <v>CPPKPK300M/1</v>
          </cell>
          <cell r="C516" t="str">
            <v>M01</v>
          </cell>
        </row>
        <row r="517">
          <cell r="B517" t="str">
            <v>CPPKPR600S/1</v>
          </cell>
          <cell r="C517" t="str">
            <v>M01</v>
          </cell>
        </row>
        <row r="518">
          <cell r="B518" t="str">
            <v>CPPKPS290X240</v>
          </cell>
          <cell r="C518" t="str">
            <v>M01</v>
          </cell>
        </row>
        <row r="519">
          <cell r="B519" t="str">
            <v>CPPKPS800X550</v>
          </cell>
          <cell r="C519" t="str">
            <v>M01</v>
          </cell>
        </row>
        <row r="520">
          <cell r="B520" t="str">
            <v>CPPKPU270X170</v>
          </cell>
          <cell r="C520" t="str">
            <v>M01</v>
          </cell>
        </row>
        <row r="521">
          <cell r="B521" t="str">
            <v>CPPKPU9002</v>
          </cell>
          <cell r="C521" t="str">
            <v>M01</v>
          </cell>
        </row>
        <row r="522">
          <cell r="B522" t="str">
            <v>CPPKPU9054</v>
          </cell>
          <cell r="C522" t="str">
            <v>M01</v>
          </cell>
        </row>
        <row r="523">
          <cell r="B523" t="str">
            <v>CPPKPU9058</v>
          </cell>
          <cell r="C523" t="str">
            <v>M01</v>
          </cell>
        </row>
        <row r="524">
          <cell r="B524" t="str">
            <v>CPPKPW013/1</v>
          </cell>
          <cell r="C524" t="str">
            <v>M01</v>
          </cell>
        </row>
        <row r="525">
          <cell r="B525" t="str">
            <v>CPPKPW1200X800</v>
          </cell>
          <cell r="C525" t="str">
            <v>M01</v>
          </cell>
        </row>
        <row r="526">
          <cell r="B526" t="str">
            <v>CPPKSC200/11</v>
          </cell>
          <cell r="C526" t="str">
            <v>M01</v>
          </cell>
        </row>
        <row r="527">
          <cell r="B527" t="str">
            <v>CPPKSC200/5</v>
          </cell>
          <cell r="C527" t="str">
            <v>M01</v>
          </cell>
        </row>
        <row r="528">
          <cell r="B528" t="str">
            <v>CPPMRF201EN</v>
          </cell>
          <cell r="C528" t="str">
            <v>M01</v>
          </cell>
        </row>
        <row r="529">
          <cell r="B529" t="str">
            <v>CPPMSF305/7AN</v>
          </cell>
          <cell r="C529" t="str">
            <v>M01</v>
          </cell>
        </row>
        <row r="530">
          <cell r="B530" t="str">
            <v>CPPMSF305/7EN</v>
          </cell>
          <cell r="C530" t="str">
            <v>M01</v>
          </cell>
        </row>
        <row r="531">
          <cell r="B531" t="str">
            <v>CPPMSF3253/7EN</v>
          </cell>
          <cell r="C531" t="str">
            <v>M01</v>
          </cell>
        </row>
        <row r="532">
          <cell r="B532" t="str">
            <v>CPPNBR20261EN</v>
          </cell>
          <cell r="C532" t="str">
            <v>M01</v>
          </cell>
        </row>
        <row r="533">
          <cell r="B533" t="str">
            <v>CPPTSW20025/1EP</v>
          </cell>
          <cell r="C533" t="str">
            <v>M01</v>
          </cell>
        </row>
        <row r="534">
          <cell r="B534" t="str">
            <v>CPPTSW20118EN</v>
          </cell>
          <cell r="C534" t="str">
            <v>M01</v>
          </cell>
        </row>
        <row r="535">
          <cell r="B535" t="str">
            <v>CPPTSW2073/1EP</v>
          </cell>
          <cell r="C535" t="str">
            <v>M01</v>
          </cell>
        </row>
        <row r="536">
          <cell r="B536" t="str">
            <v>CPSPBR313X300EN</v>
          </cell>
          <cell r="C536" t="str">
            <v>M01</v>
          </cell>
        </row>
        <row r="537">
          <cell r="B537" t="str">
            <v>CPVRCEC23120EP</v>
          </cell>
          <cell r="C537" t="str">
            <v>M01</v>
          </cell>
        </row>
        <row r="538">
          <cell r="B538" t="str">
            <v>RMCWMG328EN</v>
          </cell>
          <cell r="C538" t="str">
            <v>M01</v>
          </cell>
        </row>
        <row r="539">
          <cell r="B539" t="str">
            <v>RMEPGL001-1</v>
          </cell>
          <cell r="C539" t="str">
            <v>M01</v>
          </cell>
        </row>
        <row r="540">
          <cell r="B540" t="str">
            <v>RMEPGL001-2</v>
          </cell>
          <cell r="C540" t="str">
            <v>M01</v>
          </cell>
        </row>
        <row r="541">
          <cell r="B541" t="str">
            <v>RMEPPD219</v>
          </cell>
          <cell r="C541" t="str">
            <v>M01</v>
          </cell>
        </row>
        <row r="542">
          <cell r="B542" t="str">
            <v>RMLBGR222X</v>
          </cell>
          <cell r="C542" t="str">
            <v>M01</v>
          </cell>
        </row>
        <row r="543">
          <cell r="B543" t="str">
            <v>RMNYSB200X160</v>
          </cell>
          <cell r="C543" t="str">
            <v>M01</v>
          </cell>
        </row>
        <row r="544">
          <cell r="B544" t="str">
            <v>RMPPSB001X110</v>
          </cell>
          <cell r="C544" t="str">
            <v>M01</v>
          </cell>
        </row>
        <row r="545">
          <cell r="B545" t="str">
            <v>RMSFRL001X460</v>
          </cell>
          <cell r="C545" t="str">
            <v>M01</v>
          </cell>
        </row>
        <row r="546">
          <cell r="B546" t="str">
            <v>RMSISC032X050</v>
          </cell>
          <cell r="C546" t="str">
            <v>M01</v>
          </cell>
        </row>
        <row r="547">
          <cell r="B547" t="str">
            <v>RMSISC037X050</v>
          </cell>
          <cell r="C547" t="str">
            <v>M01</v>
          </cell>
        </row>
        <row r="548">
          <cell r="B548" t="str">
            <v>RMTPPP002X635</v>
          </cell>
          <cell r="C548" t="str">
            <v>M01</v>
          </cell>
        </row>
        <row r="549">
          <cell r="B549" t="str">
            <v>SURCHARGE </v>
          </cell>
          <cell r="C549" t="str">
            <v>M01</v>
          </cell>
        </row>
        <row r="550">
          <cell r="B550" t="str">
            <v>0010-1060001-0109</v>
          </cell>
          <cell r="C550" t="str">
            <v>M46</v>
          </cell>
        </row>
        <row r="551">
          <cell r="B551" t="str">
            <v>0037-901C601</v>
          </cell>
          <cell r="C551" t="str">
            <v>M46</v>
          </cell>
        </row>
        <row r="552">
          <cell r="B552" t="str">
            <v>0011-M03A008-0052</v>
          </cell>
          <cell r="C552" t="str">
            <v>M46</v>
          </cell>
        </row>
        <row r="553">
          <cell r="B553" t="str">
            <v>0011-M03A008-0057</v>
          </cell>
          <cell r="C553" t="str">
            <v>M46</v>
          </cell>
        </row>
        <row r="554">
          <cell r="B554" t="str">
            <v>0060-1420410-G</v>
          </cell>
          <cell r="C554" t="str">
            <v>M46</v>
          </cell>
        </row>
        <row r="555">
          <cell r="B555" t="str">
            <v>0060-9390118</v>
          </cell>
          <cell r="C555" t="str">
            <v>M46</v>
          </cell>
        </row>
        <row r="556">
          <cell r="B556" t="str">
            <v>0060-9390120</v>
          </cell>
          <cell r="C556" t="str">
            <v>M46</v>
          </cell>
        </row>
        <row r="557">
          <cell r="B557" t="str">
            <v>0060-M470090</v>
          </cell>
          <cell r="C557" t="str">
            <v>M46</v>
          </cell>
        </row>
        <row r="558">
          <cell r="B558" t="str">
            <v>0060-M470100</v>
          </cell>
          <cell r="C558" t="str">
            <v>M46</v>
          </cell>
        </row>
        <row r="559">
          <cell r="B559" t="str">
            <v>0060-M470110</v>
          </cell>
          <cell r="C559" t="str">
            <v>M46</v>
          </cell>
        </row>
        <row r="560">
          <cell r="B560" t="str">
            <v>0060-X390106</v>
          </cell>
          <cell r="C560" t="str">
            <v>M46</v>
          </cell>
        </row>
        <row r="561">
          <cell r="B561" t="str">
            <v>0062-1000080-6</v>
          </cell>
          <cell r="C561" t="str">
            <v>M46</v>
          </cell>
        </row>
        <row r="562">
          <cell r="B562" t="str">
            <v>0062-1030080</v>
          </cell>
          <cell r="C562" t="str">
            <v>M46</v>
          </cell>
        </row>
        <row r="563">
          <cell r="B563" t="str">
            <v>0062-800B080</v>
          </cell>
          <cell r="C563" t="str">
            <v>M46</v>
          </cell>
        </row>
        <row r="564">
          <cell r="B564" t="str">
            <v>0062-800B050</v>
          </cell>
          <cell r="C564" t="str">
            <v>M46</v>
          </cell>
        </row>
        <row r="565">
          <cell r="B565" t="str">
            <v>0070-1040029-B</v>
          </cell>
          <cell r="C565" t="str">
            <v>M46</v>
          </cell>
        </row>
        <row r="566">
          <cell r="B566" t="str">
            <v>0070-1040029-N</v>
          </cell>
          <cell r="C566" t="str">
            <v>M46</v>
          </cell>
        </row>
        <row r="567">
          <cell r="B567" t="str">
            <v>0070-1220004</v>
          </cell>
          <cell r="C567" t="str">
            <v>M46</v>
          </cell>
        </row>
        <row r="568">
          <cell r="B568" t="str">
            <v>0070-1250001</v>
          </cell>
          <cell r="C568" t="str">
            <v>M46</v>
          </cell>
        </row>
        <row r="569">
          <cell r="B569" t="str">
            <v>0070-E050002</v>
          </cell>
          <cell r="C569" t="str">
            <v>M46</v>
          </cell>
        </row>
        <row r="570">
          <cell r="B570" t="str">
            <v>0070-M010001</v>
          </cell>
          <cell r="C570" t="str">
            <v>M46</v>
          </cell>
        </row>
        <row r="571">
          <cell r="B571" t="str">
            <v>0070-M010002</v>
          </cell>
          <cell r="C571" t="str">
            <v>M46</v>
          </cell>
        </row>
        <row r="572">
          <cell r="B572" t="str">
            <v>0070-M040002</v>
          </cell>
          <cell r="C572" t="str">
            <v>M46</v>
          </cell>
        </row>
        <row r="573">
          <cell r="B573" t="str">
            <v>0070-M040003</v>
          </cell>
          <cell r="C573" t="str">
            <v>M46</v>
          </cell>
        </row>
        <row r="574">
          <cell r="B574" t="str">
            <v>0070-M040004</v>
          </cell>
          <cell r="C574" t="str">
            <v>M46</v>
          </cell>
        </row>
        <row r="575">
          <cell r="B575" t="str">
            <v>0070-M110001</v>
          </cell>
          <cell r="C575" t="str">
            <v>M46</v>
          </cell>
        </row>
        <row r="576">
          <cell r="B576" t="str">
            <v>0070-M120001</v>
          </cell>
          <cell r="C576" t="str">
            <v>M46</v>
          </cell>
        </row>
        <row r="577">
          <cell r="B577" t="str">
            <v>0080-902A270</v>
          </cell>
          <cell r="C577" t="str">
            <v>M46</v>
          </cell>
        </row>
        <row r="578">
          <cell r="B578" t="str">
            <v>0081-1000074</v>
          </cell>
          <cell r="C578" t="str">
            <v>M46</v>
          </cell>
        </row>
        <row r="579">
          <cell r="B579" t="str">
            <v>0081-1000091</v>
          </cell>
          <cell r="C579" t="str">
            <v>M46</v>
          </cell>
        </row>
        <row r="580">
          <cell r="B580" t="str">
            <v>0081-V000012-A</v>
          </cell>
          <cell r="C580" t="str">
            <v>M46</v>
          </cell>
        </row>
        <row r="581">
          <cell r="B581" t="str">
            <v>0081-V000012-B</v>
          </cell>
          <cell r="C581" t="str">
            <v>M46</v>
          </cell>
        </row>
        <row r="582">
          <cell r="B582" t="str">
            <v>0082-1000049</v>
          </cell>
          <cell r="C582" t="str">
            <v>M46</v>
          </cell>
        </row>
        <row r="583">
          <cell r="B583" t="str">
            <v>0082-9000007</v>
          </cell>
          <cell r="C583" t="str">
            <v>M46</v>
          </cell>
        </row>
        <row r="584">
          <cell r="B584" t="str">
            <v>0082-9000012</v>
          </cell>
          <cell r="C584" t="str">
            <v>M46</v>
          </cell>
        </row>
        <row r="585">
          <cell r="B585" t="str">
            <v>0082-9000014</v>
          </cell>
          <cell r="C585" t="str">
            <v>M46</v>
          </cell>
        </row>
        <row r="586">
          <cell r="B586" t="str">
            <v>0082-G000007</v>
          </cell>
          <cell r="C586" t="str">
            <v>M46</v>
          </cell>
        </row>
        <row r="587">
          <cell r="B587" t="str">
            <v>0082-M000001</v>
          </cell>
          <cell r="C587" t="str">
            <v>M46</v>
          </cell>
        </row>
        <row r="588">
          <cell r="B588" t="str">
            <v>0083-1000026</v>
          </cell>
          <cell r="C588" t="str">
            <v>M46</v>
          </cell>
        </row>
        <row r="589">
          <cell r="B589" t="str">
            <v>0083-8000002</v>
          </cell>
          <cell r="C589" t="str">
            <v>M46</v>
          </cell>
        </row>
        <row r="590">
          <cell r="B590" t="str">
            <v>0085-1000002</v>
          </cell>
          <cell r="C590" t="str">
            <v>M46</v>
          </cell>
        </row>
        <row r="591">
          <cell r="B591" t="str">
            <v>0088-1000085</v>
          </cell>
          <cell r="C591" t="str">
            <v>M46</v>
          </cell>
        </row>
        <row r="592">
          <cell r="B592" t="str">
            <v>0088-1000091</v>
          </cell>
          <cell r="C592" t="str">
            <v>M46</v>
          </cell>
        </row>
        <row r="593">
          <cell r="B593" t="str">
            <v>0089-M000001</v>
          </cell>
          <cell r="C593" t="str">
            <v>M46</v>
          </cell>
        </row>
        <row r="594">
          <cell r="B594" t="str">
            <v>1100-1061641</v>
          </cell>
          <cell r="C594" t="str">
            <v>M46</v>
          </cell>
        </row>
        <row r="595">
          <cell r="B595" t="str">
            <v>1100-9YY0002</v>
          </cell>
          <cell r="C595" t="str">
            <v>M46</v>
          </cell>
        </row>
        <row r="596">
          <cell r="B596" t="str">
            <v>1100-EGN0001</v>
          </cell>
          <cell r="C596" t="str">
            <v>M46</v>
          </cell>
        </row>
        <row r="597">
          <cell r="B597" t="str">
            <v>1100-EGP0001</v>
          </cell>
          <cell r="C597" t="str">
            <v>M46</v>
          </cell>
        </row>
        <row r="598">
          <cell r="B598" t="str">
            <v>1100-M020006</v>
          </cell>
          <cell r="C598" t="str">
            <v>M46</v>
          </cell>
        </row>
        <row r="599">
          <cell r="B599" t="str">
            <v>1100-M020006/MX</v>
          </cell>
          <cell r="C599" t="str">
            <v>M46</v>
          </cell>
        </row>
        <row r="600">
          <cell r="B600" t="str">
            <v>1100-M020007</v>
          </cell>
          <cell r="C600" t="str">
            <v>M46</v>
          </cell>
        </row>
        <row r="601">
          <cell r="B601" t="str">
            <v>1100-M020007/MX</v>
          </cell>
          <cell r="C601" t="str">
            <v>M46</v>
          </cell>
        </row>
        <row r="602">
          <cell r="B602" t="str">
            <v>1100-M020008</v>
          </cell>
          <cell r="C602" t="str">
            <v>M46</v>
          </cell>
        </row>
        <row r="603">
          <cell r="B603" t="str">
            <v>1100-M020008/MX</v>
          </cell>
          <cell r="C603" t="str">
            <v>M46</v>
          </cell>
        </row>
        <row r="604">
          <cell r="B604" t="str">
            <v>1100-MYY0001</v>
          </cell>
          <cell r="C604" t="str">
            <v>M46</v>
          </cell>
        </row>
        <row r="605">
          <cell r="B605" t="str">
            <v>1101-1020110EN</v>
          </cell>
          <cell r="C605" t="str">
            <v>M46</v>
          </cell>
        </row>
        <row r="606">
          <cell r="B606" t="str">
            <v>1101-1020565EN</v>
          </cell>
          <cell r="C606" t="str">
            <v>M46</v>
          </cell>
        </row>
        <row r="607">
          <cell r="B607" t="str">
            <v>1101-1YY0084EP</v>
          </cell>
          <cell r="C607" t="str">
            <v>M46</v>
          </cell>
        </row>
        <row r="608">
          <cell r="B608" t="str">
            <v>1101-1YY0085EP</v>
          </cell>
          <cell r="C608" t="str">
            <v>M46</v>
          </cell>
        </row>
        <row r="609">
          <cell r="B609" t="str">
            <v>1101-1YY0086EP</v>
          </cell>
          <cell r="C609" t="str">
            <v>M46</v>
          </cell>
        </row>
        <row r="610">
          <cell r="B610" t="str">
            <v>1101-1YY0088EP</v>
          </cell>
          <cell r="C610" t="str">
            <v>M46</v>
          </cell>
        </row>
        <row r="611">
          <cell r="B611" t="str">
            <v>1101-1YY0090EP</v>
          </cell>
          <cell r="C611" t="str">
            <v>M46</v>
          </cell>
        </row>
        <row r="612">
          <cell r="B612" t="str">
            <v>1101-EGN0001</v>
          </cell>
          <cell r="C612" t="str">
            <v>M46</v>
          </cell>
        </row>
        <row r="613">
          <cell r="B613" t="str">
            <v>1101-EGP0001</v>
          </cell>
          <cell r="C613" t="str">
            <v>M46</v>
          </cell>
        </row>
        <row r="614">
          <cell r="B614" t="str">
            <v>1101-EQN0001EN</v>
          </cell>
          <cell r="C614" t="str">
            <v>M46</v>
          </cell>
        </row>
        <row r="615">
          <cell r="B615" t="str">
            <v>1101-EQN0004EN</v>
          </cell>
          <cell r="C615" t="str">
            <v>M46</v>
          </cell>
        </row>
        <row r="616">
          <cell r="B616" t="str">
            <v>1101-MYY0001</v>
          </cell>
          <cell r="C616" t="str">
            <v>M46</v>
          </cell>
        </row>
        <row r="617">
          <cell r="B617" t="str">
            <v>1101-MYY0002</v>
          </cell>
          <cell r="C617" t="str">
            <v>M46</v>
          </cell>
        </row>
        <row r="618">
          <cell r="B618" t="str">
            <v>1101-MYY0003</v>
          </cell>
          <cell r="C618" t="str">
            <v>M46</v>
          </cell>
        </row>
        <row r="619">
          <cell r="B619" t="str">
            <v>1101-MYY0004</v>
          </cell>
          <cell r="C619" t="str">
            <v>M46</v>
          </cell>
        </row>
        <row r="620">
          <cell r="B620" t="str">
            <v>1101-MYY0005</v>
          </cell>
          <cell r="C620" t="str">
            <v>M46</v>
          </cell>
        </row>
        <row r="621">
          <cell r="B621" t="str">
            <v>1101-MYY0006</v>
          </cell>
          <cell r="C621" t="str">
            <v>M46</v>
          </cell>
        </row>
        <row r="622">
          <cell r="B622" t="str">
            <v>1102-1020050EN</v>
          </cell>
          <cell r="C622" t="str">
            <v>M46</v>
          </cell>
        </row>
        <row r="623">
          <cell r="B623" t="str">
            <v>1102-M020003</v>
          </cell>
          <cell r="C623" t="str">
            <v>M46</v>
          </cell>
        </row>
        <row r="624">
          <cell r="B624" t="str">
            <v>1104-1020118EN</v>
          </cell>
          <cell r="C624" t="str">
            <v>M46</v>
          </cell>
        </row>
        <row r="625">
          <cell r="B625" t="str">
            <v>1104-1060208EN</v>
          </cell>
          <cell r="C625" t="str">
            <v>M46</v>
          </cell>
        </row>
        <row r="626">
          <cell r="B626" t="str">
            <v>1108-0022070EN</v>
          </cell>
          <cell r="C626" t="str">
            <v>M46</v>
          </cell>
        </row>
        <row r="627">
          <cell r="B627" t="str">
            <v>1109-1010001EP</v>
          </cell>
          <cell r="C627" t="str">
            <v>M46</v>
          </cell>
        </row>
        <row r="628">
          <cell r="B628" t="str">
            <v>1109-1060016EN</v>
          </cell>
          <cell r="C628" t="str">
            <v>M46</v>
          </cell>
        </row>
        <row r="629">
          <cell r="B629" t="str">
            <v>1110-0068400EN</v>
          </cell>
          <cell r="C629" t="str">
            <v>M46</v>
          </cell>
        </row>
        <row r="630">
          <cell r="B630" t="str">
            <v>1110-1010006EP</v>
          </cell>
          <cell r="C630" t="str">
            <v>M46</v>
          </cell>
        </row>
        <row r="631">
          <cell r="B631" t="str">
            <v>1110-EQN0001EN</v>
          </cell>
          <cell r="C631" t="str">
            <v>M46</v>
          </cell>
        </row>
        <row r="632">
          <cell r="B632" t="str">
            <v>1110-MYY0001</v>
          </cell>
          <cell r="C632" t="str">
            <v>M46</v>
          </cell>
        </row>
        <row r="633">
          <cell r="B633" t="str">
            <v>1121-M020004</v>
          </cell>
          <cell r="C633" t="str">
            <v>M46</v>
          </cell>
        </row>
        <row r="634">
          <cell r="B634" t="str">
            <v>1123-1060052EN</v>
          </cell>
          <cell r="C634" t="str">
            <v>M46</v>
          </cell>
        </row>
        <row r="635">
          <cell r="B635" t="str">
            <v>1127-EQN0006EN</v>
          </cell>
          <cell r="C635" t="str">
            <v>M46</v>
          </cell>
        </row>
        <row r="636">
          <cell r="B636" t="str">
            <v>1128-EQH0005</v>
          </cell>
          <cell r="C636" t="str">
            <v>M46</v>
          </cell>
        </row>
        <row r="637">
          <cell r="B637" t="str">
            <v>1128-MYY0001</v>
          </cell>
          <cell r="C637" t="str">
            <v>M46</v>
          </cell>
        </row>
        <row r="638">
          <cell r="B638" t="str">
            <v>1128-MYY0002</v>
          </cell>
          <cell r="C638" t="str">
            <v>M46</v>
          </cell>
        </row>
        <row r="639">
          <cell r="B639" t="str">
            <v>1128-MYY0003</v>
          </cell>
          <cell r="C639" t="str">
            <v>M46</v>
          </cell>
        </row>
        <row r="640">
          <cell r="B640" t="str">
            <v>1128-MYY0004</v>
          </cell>
          <cell r="C640" t="str">
            <v>M46</v>
          </cell>
        </row>
        <row r="641">
          <cell r="B641" t="str">
            <v>1128-MYY0005</v>
          </cell>
          <cell r="C641" t="str">
            <v>M46</v>
          </cell>
        </row>
        <row r="642">
          <cell r="B642" t="str">
            <v>1128-MYY0006</v>
          </cell>
          <cell r="C642" t="str">
            <v>M46</v>
          </cell>
        </row>
        <row r="643">
          <cell r="B643" t="str">
            <v>1128-MYY0007</v>
          </cell>
          <cell r="C643" t="str">
            <v>M46</v>
          </cell>
        </row>
        <row r="644">
          <cell r="B644" t="str">
            <v>1128-MYY0008</v>
          </cell>
          <cell r="C644" t="str">
            <v>M46</v>
          </cell>
        </row>
        <row r="645">
          <cell r="B645" t="str">
            <v>1128-MYY0009</v>
          </cell>
          <cell r="C645" t="str">
            <v>M46</v>
          </cell>
        </row>
        <row r="646">
          <cell r="B646" t="str">
            <v>1128-MYY0010</v>
          </cell>
          <cell r="C646" t="str">
            <v>M46</v>
          </cell>
        </row>
        <row r="647">
          <cell r="B647" t="str">
            <v>1128-MYY0011</v>
          </cell>
          <cell r="C647" t="str">
            <v>M46</v>
          </cell>
        </row>
        <row r="648">
          <cell r="B648" t="str">
            <v>1128-MYY0012</v>
          </cell>
          <cell r="C648" t="str">
            <v>M46</v>
          </cell>
        </row>
        <row r="649">
          <cell r="B649" t="str">
            <v>1200-1020864EN</v>
          </cell>
          <cell r="C649" t="str">
            <v>M46</v>
          </cell>
        </row>
        <row r="650">
          <cell r="B650" t="str">
            <v>1200-1061164EN</v>
          </cell>
          <cell r="C650" t="str">
            <v>M46</v>
          </cell>
        </row>
        <row r="651">
          <cell r="B651" t="str">
            <v>1201-MYY0001</v>
          </cell>
          <cell r="C651" t="str">
            <v>M46</v>
          </cell>
        </row>
        <row r="652">
          <cell r="B652" t="str">
            <v>1202-1020121-54EN</v>
          </cell>
          <cell r="C652" t="str">
            <v>M46</v>
          </cell>
        </row>
        <row r="653">
          <cell r="B653" t="str">
            <v>1202-1020290EN</v>
          </cell>
          <cell r="C653" t="str">
            <v>M46</v>
          </cell>
        </row>
        <row r="654">
          <cell r="B654" t="str">
            <v>1202-1060393EN</v>
          </cell>
          <cell r="C654" t="str">
            <v>M46</v>
          </cell>
        </row>
        <row r="655">
          <cell r="B655" t="str">
            <v>1202-1060410EN</v>
          </cell>
          <cell r="C655" t="str">
            <v>M46</v>
          </cell>
        </row>
        <row r="656">
          <cell r="B656" t="str">
            <v>1202-9YY0001</v>
          </cell>
          <cell r="C656" t="str">
            <v>M46</v>
          </cell>
        </row>
        <row r="657">
          <cell r="B657" t="str">
            <v>1202-EGN0001</v>
          </cell>
          <cell r="C657" t="str">
            <v>M46</v>
          </cell>
        </row>
        <row r="658">
          <cell r="B658" t="str">
            <v>1204-0068400EN</v>
          </cell>
          <cell r="C658" t="str">
            <v>M46</v>
          </cell>
        </row>
        <row r="659">
          <cell r="B659" t="str">
            <v>1205-9YY0041</v>
          </cell>
          <cell r="C659" t="str">
            <v>M46</v>
          </cell>
        </row>
        <row r="660">
          <cell r="B660" t="str">
            <v>1205-9YY0046-T3EP</v>
          </cell>
          <cell r="C660" t="str">
            <v>M46</v>
          </cell>
        </row>
        <row r="661">
          <cell r="B661" t="str">
            <v>1205-9YY0050-T3EP</v>
          </cell>
          <cell r="C661" t="str">
            <v>M46</v>
          </cell>
        </row>
        <row r="662">
          <cell r="B662" t="str">
            <v>1205-9YY0051-T3EP</v>
          </cell>
          <cell r="C662" t="str">
            <v>M46</v>
          </cell>
        </row>
        <row r="663">
          <cell r="B663" t="str">
            <v>1205-EGP0002</v>
          </cell>
          <cell r="C663" t="str">
            <v>M46</v>
          </cell>
        </row>
        <row r="664">
          <cell r="B664" t="str">
            <v>1205-EGP0004</v>
          </cell>
          <cell r="C664" t="str">
            <v>M46</v>
          </cell>
        </row>
        <row r="665">
          <cell r="B665" t="str">
            <v>1205-EGP0006</v>
          </cell>
          <cell r="C665" t="str">
            <v>M46</v>
          </cell>
        </row>
        <row r="666">
          <cell r="B666" t="str">
            <v>1205-EGP0007</v>
          </cell>
          <cell r="C666" t="str">
            <v>M46</v>
          </cell>
        </row>
        <row r="667">
          <cell r="B667" t="str">
            <v>1205-MYY0002</v>
          </cell>
          <cell r="C667" t="str">
            <v>M46</v>
          </cell>
        </row>
        <row r="668">
          <cell r="B668" t="str">
            <v>1205-MYY0003</v>
          </cell>
          <cell r="C668" t="str">
            <v>M46</v>
          </cell>
        </row>
        <row r="669">
          <cell r="B669" t="str">
            <v>1205-MYY0006</v>
          </cell>
          <cell r="C669" t="str">
            <v>M46</v>
          </cell>
        </row>
        <row r="670">
          <cell r="B670" t="str">
            <v>1206-EJB0005</v>
          </cell>
          <cell r="C670" t="str">
            <v>M46</v>
          </cell>
        </row>
        <row r="671">
          <cell r="B671" t="str">
            <v>1209-MYY0001</v>
          </cell>
          <cell r="C671" t="str">
            <v>M46</v>
          </cell>
        </row>
        <row r="672">
          <cell r="B672" t="str">
            <v>1226-MYY0001</v>
          </cell>
          <cell r="C672" t="str">
            <v>M46</v>
          </cell>
        </row>
        <row r="673">
          <cell r="B673" t="str">
            <v>1226-MYY0002</v>
          </cell>
          <cell r="C673" t="str">
            <v>M46</v>
          </cell>
        </row>
        <row r="674">
          <cell r="B674" t="str">
            <v>1262-MYY0001</v>
          </cell>
          <cell r="C674" t="str">
            <v>M46</v>
          </cell>
        </row>
        <row r="675">
          <cell r="B675" t="str">
            <v>1263-9YY0006</v>
          </cell>
          <cell r="C675" t="str">
            <v>M46</v>
          </cell>
        </row>
        <row r="676">
          <cell r="B676" t="str">
            <v>1264-9YY0003-S7EP</v>
          </cell>
          <cell r="C676" t="str">
            <v>M46</v>
          </cell>
        </row>
        <row r="677">
          <cell r="B677" t="str">
            <v>1264-EQH0001</v>
          </cell>
          <cell r="C677" t="str">
            <v>M46</v>
          </cell>
        </row>
        <row r="678">
          <cell r="B678" t="str">
            <v>1272-EQH0001</v>
          </cell>
          <cell r="C678" t="str">
            <v>M46</v>
          </cell>
        </row>
        <row r="679">
          <cell r="B679" t="str">
            <v>1272-MYY0001</v>
          </cell>
          <cell r="C679" t="str">
            <v>M46</v>
          </cell>
        </row>
        <row r="680">
          <cell r="B680" t="str">
            <v>1272-MYY0002</v>
          </cell>
          <cell r="C680" t="str">
            <v>M46</v>
          </cell>
        </row>
        <row r="681">
          <cell r="B681" t="str">
            <v>1272-MYY0003</v>
          </cell>
          <cell r="C681" t="str">
            <v>M46</v>
          </cell>
        </row>
        <row r="682">
          <cell r="B682" t="str">
            <v>1272-MYY0004</v>
          </cell>
          <cell r="C682" t="str">
            <v>M46</v>
          </cell>
        </row>
        <row r="683">
          <cell r="B683" t="str">
            <v>1272-MYY0005</v>
          </cell>
          <cell r="C683" t="str">
            <v>M46</v>
          </cell>
        </row>
        <row r="684">
          <cell r="B684" t="str">
            <v>1277-1YY0021EP</v>
          </cell>
          <cell r="C684" t="str">
            <v>M46</v>
          </cell>
        </row>
        <row r="685">
          <cell r="B685" t="str">
            <v>1277-EGP0001/MX</v>
          </cell>
          <cell r="C685" t="str">
            <v>M46</v>
          </cell>
        </row>
        <row r="686">
          <cell r="B686" t="str">
            <v>1277-EGP0004</v>
          </cell>
          <cell r="C686" t="str">
            <v>M46</v>
          </cell>
        </row>
        <row r="687">
          <cell r="B687" t="str">
            <v>1277-EQH0001</v>
          </cell>
          <cell r="C687" t="str">
            <v>M46</v>
          </cell>
        </row>
        <row r="688">
          <cell r="B688" t="str">
            <v>1299-EHD0002</v>
          </cell>
          <cell r="C688" t="str">
            <v>M46</v>
          </cell>
        </row>
        <row r="689">
          <cell r="B689" t="str">
            <v>1300-1060998</v>
          </cell>
          <cell r="C689" t="str">
            <v>M46</v>
          </cell>
        </row>
        <row r="690">
          <cell r="B690" t="str">
            <v>1300-M020003</v>
          </cell>
          <cell r="C690" t="str">
            <v>M46</v>
          </cell>
        </row>
        <row r="691">
          <cell r="B691" t="str">
            <v>1300-M020003/MX</v>
          </cell>
          <cell r="C691" t="str">
            <v>M46</v>
          </cell>
        </row>
        <row r="692">
          <cell r="B692" t="str">
            <v>1300-MYY0001</v>
          </cell>
          <cell r="C692" t="str">
            <v>M46</v>
          </cell>
        </row>
        <row r="693">
          <cell r="B693" t="str">
            <v>1300-MYY0001/MX</v>
          </cell>
          <cell r="C693" t="str">
            <v>M46</v>
          </cell>
        </row>
        <row r="694">
          <cell r="B694" t="str">
            <v>1300-MYY0002</v>
          </cell>
          <cell r="C694" t="str">
            <v>M46</v>
          </cell>
        </row>
        <row r="695">
          <cell r="B695" t="str">
            <v>1300-MYY0002/MX</v>
          </cell>
          <cell r="C695" t="str">
            <v>M46</v>
          </cell>
        </row>
        <row r="696">
          <cell r="B696" t="str">
            <v>1300-MYY0003</v>
          </cell>
          <cell r="C696" t="str">
            <v>M46</v>
          </cell>
        </row>
        <row r="697">
          <cell r="B697" t="str">
            <v>1300-MYY0003/MX</v>
          </cell>
          <cell r="C697" t="str">
            <v>M46</v>
          </cell>
        </row>
        <row r="698">
          <cell r="B698" t="str">
            <v>1300-MYY0004</v>
          </cell>
          <cell r="C698" t="str">
            <v>M46</v>
          </cell>
        </row>
        <row r="699">
          <cell r="B699" t="str">
            <v>1300-MYY0004/MX</v>
          </cell>
          <cell r="C699" t="str">
            <v>M46</v>
          </cell>
        </row>
        <row r="700">
          <cell r="B700" t="str">
            <v>1301-1020333-93/MX</v>
          </cell>
          <cell r="C700" t="str">
            <v>M46</v>
          </cell>
        </row>
        <row r="701">
          <cell r="B701" t="str">
            <v>1301-1060387EN</v>
          </cell>
          <cell r="C701" t="str">
            <v>M46</v>
          </cell>
        </row>
        <row r="702">
          <cell r="B702" t="str">
            <v>1301-9GA0003</v>
          </cell>
          <cell r="C702" t="str">
            <v>M46</v>
          </cell>
        </row>
        <row r="703">
          <cell r="B703" t="str">
            <v>1301-9YY0020EN</v>
          </cell>
          <cell r="C703" t="str">
            <v>M46</v>
          </cell>
        </row>
        <row r="704">
          <cell r="B704" t="str">
            <v>1301-9YY0021EN</v>
          </cell>
          <cell r="C704" t="str">
            <v>M46</v>
          </cell>
        </row>
        <row r="705">
          <cell r="B705" t="str">
            <v>1301-9YY0028EN</v>
          </cell>
          <cell r="C705" t="str">
            <v>M46</v>
          </cell>
        </row>
        <row r="706">
          <cell r="B706" t="str">
            <v>1301-EGN0004/MX</v>
          </cell>
          <cell r="C706" t="str">
            <v>M46</v>
          </cell>
        </row>
        <row r="707">
          <cell r="B707" t="str">
            <v>1301-EGP0001/MX</v>
          </cell>
          <cell r="C707" t="str">
            <v>M46</v>
          </cell>
        </row>
        <row r="708">
          <cell r="B708" t="str">
            <v>1301-EGP0004</v>
          </cell>
          <cell r="C708" t="str">
            <v>M46</v>
          </cell>
        </row>
        <row r="709">
          <cell r="B709" t="str">
            <v>1301-EJB0020</v>
          </cell>
          <cell r="C709" t="str">
            <v>M46</v>
          </cell>
        </row>
        <row r="710">
          <cell r="B710" t="str">
            <v>1301-EJB0022</v>
          </cell>
          <cell r="C710" t="str">
            <v>M46</v>
          </cell>
        </row>
        <row r="711">
          <cell r="B711" t="str">
            <v>1301-EJB0023</v>
          </cell>
          <cell r="C711" t="str">
            <v>M46</v>
          </cell>
        </row>
        <row r="712">
          <cell r="B712" t="str">
            <v>1301-EJB0026</v>
          </cell>
          <cell r="C712" t="str">
            <v>M46</v>
          </cell>
        </row>
        <row r="713">
          <cell r="B713" t="str">
            <v>1301-EQH0005</v>
          </cell>
          <cell r="C713" t="str">
            <v>M46</v>
          </cell>
        </row>
        <row r="714">
          <cell r="B714" t="str">
            <v>1301-EQH0006</v>
          </cell>
          <cell r="C714" t="str">
            <v>M46</v>
          </cell>
        </row>
        <row r="715">
          <cell r="B715" t="str">
            <v>1301-EQN0001EN</v>
          </cell>
          <cell r="C715" t="str">
            <v>M46</v>
          </cell>
        </row>
        <row r="716">
          <cell r="B716" t="str">
            <v>1301-M020001-93</v>
          </cell>
          <cell r="C716" t="str">
            <v>M46</v>
          </cell>
        </row>
        <row r="717">
          <cell r="B717" t="str">
            <v>1301-MYY0001</v>
          </cell>
          <cell r="C717" t="str">
            <v>M46</v>
          </cell>
        </row>
        <row r="718">
          <cell r="B718" t="str">
            <v>1301-MYY0001/MX</v>
          </cell>
          <cell r="C718" t="str">
            <v>M46</v>
          </cell>
        </row>
        <row r="719">
          <cell r="B719" t="str">
            <v>1301-MYY0002/MX</v>
          </cell>
          <cell r="C719" t="str">
            <v>M46</v>
          </cell>
        </row>
        <row r="720">
          <cell r="B720" t="str">
            <v>1301-MYY0003</v>
          </cell>
          <cell r="C720" t="str">
            <v>M46</v>
          </cell>
        </row>
        <row r="721">
          <cell r="B721" t="str">
            <v>1301-MYY0006</v>
          </cell>
          <cell r="C721" t="str">
            <v>M46</v>
          </cell>
        </row>
        <row r="722">
          <cell r="B722" t="str">
            <v>1301-MYY0007</v>
          </cell>
          <cell r="C722" t="str">
            <v>M46</v>
          </cell>
        </row>
        <row r="723">
          <cell r="B723" t="str">
            <v>1301-MYY0008</v>
          </cell>
          <cell r="C723" t="str">
            <v>M46</v>
          </cell>
        </row>
        <row r="724">
          <cell r="B724" t="str">
            <v>1301-MYY0009/MX</v>
          </cell>
          <cell r="C724" t="str">
            <v>M46</v>
          </cell>
        </row>
        <row r="725">
          <cell r="B725" t="str">
            <v>1301-MYY0010/MX</v>
          </cell>
          <cell r="C725" t="str">
            <v>M46</v>
          </cell>
        </row>
        <row r="726">
          <cell r="B726" t="str">
            <v>1301-MYY0011</v>
          </cell>
          <cell r="C726" t="str">
            <v>M46</v>
          </cell>
        </row>
        <row r="727">
          <cell r="B727" t="str">
            <v>1301-MYY0012</v>
          </cell>
          <cell r="C727" t="str">
            <v>M46</v>
          </cell>
        </row>
        <row r="728">
          <cell r="B728" t="str">
            <v>1301-MYY0013</v>
          </cell>
          <cell r="C728" t="str">
            <v>M46</v>
          </cell>
        </row>
        <row r="729">
          <cell r="B729" t="str">
            <v>1301-MYY0014</v>
          </cell>
          <cell r="C729" t="str">
            <v>M46</v>
          </cell>
        </row>
        <row r="730">
          <cell r="B730" t="str">
            <v>1301-MYY0015</v>
          </cell>
          <cell r="C730" t="str">
            <v>M46</v>
          </cell>
        </row>
        <row r="731">
          <cell r="B731" t="str">
            <v>1301-MYY0016</v>
          </cell>
          <cell r="C731" t="str">
            <v>M46</v>
          </cell>
        </row>
        <row r="732">
          <cell r="B732" t="str">
            <v>1301-MYY0017/MX</v>
          </cell>
          <cell r="C732" t="str">
            <v>M46</v>
          </cell>
        </row>
        <row r="733">
          <cell r="B733" t="str">
            <v>1301-MYY0018/MX</v>
          </cell>
          <cell r="C733" t="str">
            <v>M46</v>
          </cell>
        </row>
        <row r="734">
          <cell r="B734" t="str">
            <v>1301-MYY0021</v>
          </cell>
          <cell r="C734" t="str">
            <v>M46</v>
          </cell>
        </row>
        <row r="735">
          <cell r="B735" t="str">
            <v>1301-MYY0021/MX</v>
          </cell>
          <cell r="C735" t="str">
            <v>M46</v>
          </cell>
        </row>
        <row r="736">
          <cell r="B736" t="str">
            <v>1301-MYY0022</v>
          </cell>
          <cell r="C736" t="str">
            <v>M46</v>
          </cell>
        </row>
        <row r="737">
          <cell r="B737" t="str">
            <v>1301-MYY0022/MX</v>
          </cell>
          <cell r="C737" t="str">
            <v>M46</v>
          </cell>
        </row>
        <row r="738">
          <cell r="B738" t="str">
            <v>1301-MYY0023</v>
          </cell>
          <cell r="C738" t="str">
            <v>M46</v>
          </cell>
        </row>
        <row r="739">
          <cell r="B739" t="str">
            <v>1301-MYY0023/MX</v>
          </cell>
          <cell r="C739" t="str">
            <v>M46</v>
          </cell>
        </row>
        <row r="740">
          <cell r="B740" t="str">
            <v>1301-MYY0024</v>
          </cell>
          <cell r="C740" t="str">
            <v>M46</v>
          </cell>
        </row>
        <row r="741">
          <cell r="B741" t="str">
            <v>1301-MYY0024/MX</v>
          </cell>
          <cell r="C741" t="str">
            <v>M46</v>
          </cell>
        </row>
        <row r="742">
          <cell r="B742" t="str">
            <v>1301-MYY0025</v>
          </cell>
          <cell r="C742" t="str">
            <v>M46</v>
          </cell>
        </row>
        <row r="743">
          <cell r="B743" t="str">
            <v>1301-MYY0026</v>
          </cell>
          <cell r="C743" t="str">
            <v>M46</v>
          </cell>
        </row>
        <row r="744">
          <cell r="B744" t="str">
            <v>1301-MYY0027/MX</v>
          </cell>
          <cell r="C744" t="str">
            <v>M46</v>
          </cell>
        </row>
        <row r="745">
          <cell r="B745" t="str">
            <v>1301-MYY0028</v>
          </cell>
          <cell r="C745" t="str">
            <v>M46</v>
          </cell>
        </row>
        <row r="746">
          <cell r="B746" t="str">
            <v>1301-MYY0028/MX</v>
          </cell>
          <cell r="C746" t="str">
            <v>M46</v>
          </cell>
        </row>
        <row r="747">
          <cell r="B747" t="str">
            <v>1301-MYY0029</v>
          </cell>
          <cell r="C747" t="str">
            <v>M46</v>
          </cell>
        </row>
        <row r="748">
          <cell r="B748" t="str">
            <v>1301-MYY0029/MX</v>
          </cell>
          <cell r="C748" t="str">
            <v>M46</v>
          </cell>
        </row>
        <row r="749">
          <cell r="B749" t="str">
            <v>1301-MYY0033/MX</v>
          </cell>
          <cell r="C749" t="str">
            <v>M46</v>
          </cell>
        </row>
        <row r="750">
          <cell r="B750" t="str">
            <v>1302-EGN0003/MX</v>
          </cell>
          <cell r="C750" t="str">
            <v>M46</v>
          </cell>
        </row>
        <row r="751">
          <cell r="B751" t="str">
            <v>1302-EGN0004/MX</v>
          </cell>
          <cell r="C751" t="str">
            <v>M46</v>
          </cell>
        </row>
        <row r="752">
          <cell r="B752" t="str">
            <v>1302-EGN0007/MX</v>
          </cell>
          <cell r="C752" t="str">
            <v>M46</v>
          </cell>
        </row>
        <row r="753">
          <cell r="B753" t="str">
            <v>1302-EGN0008/MX</v>
          </cell>
          <cell r="C753" t="str">
            <v>M46</v>
          </cell>
        </row>
        <row r="754">
          <cell r="B754" t="str">
            <v>1302-EGP0001</v>
          </cell>
          <cell r="C754" t="str">
            <v>M46</v>
          </cell>
        </row>
        <row r="755">
          <cell r="B755" t="str">
            <v>1302-EGP0002</v>
          </cell>
          <cell r="C755" t="str">
            <v>M46</v>
          </cell>
        </row>
        <row r="756">
          <cell r="B756" t="str">
            <v>1302-EGP0003</v>
          </cell>
          <cell r="C756" t="str">
            <v>M46</v>
          </cell>
        </row>
        <row r="757">
          <cell r="B757" t="str">
            <v>1302-EGP0004</v>
          </cell>
          <cell r="C757" t="str">
            <v>M46</v>
          </cell>
        </row>
        <row r="758">
          <cell r="B758" t="str">
            <v>1302-EGP0005</v>
          </cell>
          <cell r="C758" t="str">
            <v>M46</v>
          </cell>
        </row>
        <row r="759">
          <cell r="B759" t="str">
            <v>1302-EGP0006</v>
          </cell>
          <cell r="C759" t="str">
            <v>M46</v>
          </cell>
        </row>
        <row r="760">
          <cell r="B760" t="str">
            <v>1302-MYY0001</v>
          </cell>
          <cell r="C760" t="str">
            <v>M46</v>
          </cell>
        </row>
        <row r="761">
          <cell r="B761" t="str">
            <v>1302-MYY0002</v>
          </cell>
          <cell r="C761" t="str">
            <v>M46</v>
          </cell>
        </row>
        <row r="762">
          <cell r="B762" t="str">
            <v>1306-MYY0001</v>
          </cell>
          <cell r="C762" t="str">
            <v>M46</v>
          </cell>
        </row>
        <row r="763">
          <cell r="B763" t="str">
            <v>1306-MYY0003</v>
          </cell>
          <cell r="C763" t="str">
            <v>M46</v>
          </cell>
        </row>
        <row r="764">
          <cell r="B764" t="str">
            <v>1307-1060378EN</v>
          </cell>
          <cell r="C764" t="str">
            <v>M46</v>
          </cell>
        </row>
        <row r="765">
          <cell r="B765" t="str">
            <v>1308-1040009EN</v>
          </cell>
          <cell r="C765" t="str">
            <v>M46</v>
          </cell>
        </row>
        <row r="766">
          <cell r="B766" t="str">
            <v>1308-EGP0001</v>
          </cell>
          <cell r="C766" t="str">
            <v>M46</v>
          </cell>
        </row>
        <row r="767">
          <cell r="B767" t="str">
            <v>1313-1060051EN</v>
          </cell>
          <cell r="C767" t="str">
            <v>M46</v>
          </cell>
        </row>
        <row r="768">
          <cell r="B768" t="str">
            <v>1318-9GA0001</v>
          </cell>
          <cell r="C768" t="str">
            <v>M46</v>
          </cell>
        </row>
        <row r="769">
          <cell r="B769" t="str">
            <v>1318-EJB0012</v>
          </cell>
          <cell r="C769" t="str">
            <v>M46</v>
          </cell>
        </row>
        <row r="770">
          <cell r="B770" t="str">
            <v>1318-EJB0013</v>
          </cell>
          <cell r="C770" t="str">
            <v>M46</v>
          </cell>
        </row>
        <row r="771">
          <cell r="B771" t="str">
            <v>1318-EJB0016</v>
          </cell>
          <cell r="C771" t="str">
            <v>M46</v>
          </cell>
        </row>
        <row r="772">
          <cell r="B772" t="str">
            <v>1318-EJB0020</v>
          </cell>
          <cell r="C772" t="str">
            <v>M46</v>
          </cell>
        </row>
        <row r="773">
          <cell r="B773" t="str">
            <v>1318-EQN0001EN</v>
          </cell>
          <cell r="C773" t="str">
            <v>M46</v>
          </cell>
        </row>
        <row r="774">
          <cell r="B774" t="str">
            <v>1318-MYY0001</v>
          </cell>
          <cell r="C774" t="str">
            <v>M46</v>
          </cell>
        </row>
        <row r="775">
          <cell r="B775" t="str">
            <v>1318-MYY0002</v>
          </cell>
          <cell r="C775" t="str">
            <v>M46</v>
          </cell>
        </row>
        <row r="776">
          <cell r="B776" t="str">
            <v>1341-EGK0002</v>
          </cell>
          <cell r="C776" t="str">
            <v>M46</v>
          </cell>
        </row>
        <row r="777">
          <cell r="B777" t="str">
            <v>1341-EGK0003</v>
          </cell>
          <cell r="C777" t="str">
            <v>M46</v>
          </cell>
        </row>
        <row r="778">
          <cell r="B778" t="str">
            <v>1341-EGN0004/MX</v>
          </cell>
          <cell r="C778" t="str">
            <v>M46</v>
          </cell>
        </row>
        <row r="779">
          <cell r="B779" t="str">
            <v>1341-EGN0005/MX</v>
          </cell>
          <cell r="C779" t="str">
            <v>M46</v>
          </cell>
        </row>
        <row r="780">
          <cell r="B780" t="str">
            <v>1341-EGP0005</v>
          </cell>
          <cell r="C780" t="str">
            <v>M46</v>
          </cell>
        </row>
        <row r="781">
          <cell r="B781" t="str">
            <v>1341-EGP0005/MX</v>
          </cell>
          <cell r="C781" t="str">
            <v>M46</v>
          </cell>
        </row>
        <row r="782">
          <cell r="B782" t="str">
            <v>1341-EGP0006</v>
          </cell>
          <cell r="C782" t="str">
            <v>M46</v>
          </cell>
        </row>
        <row r="783">
          <cell r="B783" t="str">
            <v>1341-EGP0006/MX</v>
          </cell>
          <cell r="C783" t="str">
            <v>M46</v>
          </cell>
        </row>
        <row r="784">
          <cell r="B784" t="str">
            <v>1341-EGP0013</v>
          </cell>
          <cell r="C784" t="str">
            <v>M46</v>
          </cell>
        </row>
        <row r="785">
          <cell r="B785" t="str">
            <v>1341-EGP0014</v>
          </cell>
          <cell r="C785" t="str">
            <v>M46</v>
          </cell>
        </row>
        <row r="786">
          <cell r="B786" t="str">
            <v>1341-EGP0015</v>
          </cell>
          <cell r="C786" t="str">
            <v>M46</v>
          </cell>
        </row>
        <row r="787">
          <cell r="B787" t="str">
            <v>1341-EGP0016</v>
          </cell>
          <cell r="C787" t="str">
            <v>M46</v>
          </cell>
        </row>
        <row r="788">
          <cell r="B788" t="str">
            <v>1342-8GA0007EN</v>
          </cell>
          <cell r="C788" t="str">
            <v>M46</v>
          </cell>
        </row>
        <row r="789">
          <cell r="B789" t="str">
            <v>1342-8GA0008EN</v>
          </cell>
          <cell r="C789" t="str">
            <v>M46</v>
          </cell>
        </row>
        <row r="790">
          <cell r="B790" t="str">
            <v>1342-9YY0007/MX</v>
          </cell>
          <cell r="C790" t="str">
            <v>M46</v>
          </cell>
        </row>
        <row r="791">
          <cell r="B791" t="str">
            <v>1342-9YY0008/MX</v>
          </cell>
          <cell r="C791" t="str">
            <v>M46</v>
          </cell>
        </row>
        <row r="792">
          <cell r="B792" t="str">
            <v>1342-MYY0003</v>
          </cell>
          <cell r="C792" t="str">
            <v>M46</v>
          </cell>
        </row>
        <row r="793">
          <cell r="B793" t="str">
            <v>1342-MYY0004</v>
          </cell>
          <cell r="C793" t="str">
            <v>M46</v>
          </cell>
        </row>
        <row r="794">
          <cell r="B794" t="str">
            <v>1342-MYY0005</v>
          </cell>
          <cell r="C794" t="str">
            <v>M46</v>
          </cell>
        </row>
        <row r="795">
          <cell r="B795" t="str">
            <v>1342-MYY0006</v>
          </cell>
          <cell r="C795" t="str">
            <v>M46</v>
          </cell>
        </row>
        <row r="796">
          <cell r="B796" t="str">
            <v>1346-MYY0004/MX</v>
          </cell>
          <cell r="C796" t="str">
            <v>M46</v>
          </cell>
        </row>
        <row r="797">
          <cell r="B797" t="str">
            <v>1346-MYY0005/MX</v>
          </cell>
          <cell r="C797" t="str">
            <v>M46</v>
          </cell>
        </row>
        <row r="798">
          <cell r="B798" t="str">
            <v>1391-EJB0001</v>
          </cell>
          <cell r="C798" t="str">
            <v>M46</v>
          </cell>
        </row>
        <row r="799">
          <cell r="B799" t="str">
            <v>1391-EJB0002</v>
          </cell>
          <cell r="C799" t="str">
            <v>M46</v>
          </cell>
        </row>
        <row r="800">
          <cell r="B800" t="str">
            <v>1391-EQH0002</v>
          </cell>
          <cell r="C800" t="str">
            <v>M46</v>
          </cell>
        </row>
        <row r="801">
          <cell r="B801" t="str">
            <v>1391-MYY0001</v>
          </cell>
          <cell r="C801" t="str">
            <v>M46</v>
          </cell>
        </row>
        <row r="802">
          <cell r="B802" t="str">
            <v>1391-MYY0002</v>
          </cell>
          <cell r="C802" t="str">
            <v>M46</v>
          </cell>
        </row>
        <row r="803">
          <cell r="B803" t="str">
            <v>1391-MYY0004</v>
          </cell>
          <cell r="C803" t="str">
            <v>M46</v>
          </cell>
        </row>
        <row r="804">
          <cell r="B804" t="str">
            <v>1401-EQH0002</v>
          </cell>
          <cell r="C804" t="str">
            <v>M46</v>
          </cell>
        </row>
        <row r="805">
          <cell r="B805" t="str">
            <v>1401-MYY0001</v>
          </cell>
          <cell r="C805" t="str">
            <v>M46</v>
          </cell>
        </row>
        <row r="806">
          <cell r="B806" t="str">
            <v>1401-MYY0002</v>
          </cell>
          <cell r="C806" t="str">
            <v>M46</v>
          </cell>
        </row>
        <row r="807">
          <cell r="B807" t="str">
            <v>1401-MYY0003</v>
          </cell>
          <cell r="C807" t="str">
            <v>M46</v>
          </cell>
        </row>
        <row r="808">
          <cell r="B808" t="str">
            <v>1401-MYY0004</v>
          </cell>
          <cell r="C808" t="str">
            <v>M46</v>
          </cell>
        </row>
        <row r="809">
          <cell r="B809" t="str">
            <v>1401-MYY0006</v>
          </cell>
          <cell r="C809" t="str">
            <v>M46</v>
          </cell>
        </row>
        <row r="810">
          <cell r="B810" t="str">
            <v>1401-MYY0007</v>
          </cell>
          <cell r="C810" t="str">
            <v>M46</v>
          </cell>
        </row>
        <row r="811">
          <cell r="B811" t="str">
            <v>1401-MYY0008</v>
          </cell>
          <cell r="C811" t="str">
            <v>M46</v>
          </cell>
        </row>
        <row r="812">
          <cell r="B812" t="str">
            <v>1410-EJB0014</v>
          </cell>
          <cell r="C812" t="str">
            <v>M46</v>
          </cell>
        </row>
        <row r="813">
          <cell r="B813" t="str">
            <v>1410-EQH0041EN</v>
          </cell>
          <cell r="C813" t="str">
            <v>M46</v>
          </cell>
        </row>
        <row r="814">
          <cell r="B814" t="str">
            <v>1410-EQH0080</v>
          </cell>
          <cell r="C814" t="str">
            <v>M46</v>
          </cell>
        </row>
        <row r="815">
          <cell r="B815" t="str">
            <v>1410-EQH0103</v>
          </cell>
          <cell r="C815" t="str">
            <v>M46</v>
          </cell>
        </row>
        <row r="816">
          <cell r="B816" t="str">
            <v>1410-EQH0108</v>
          </cell>
          <cell r="C816" t="str">
            <v>M46</v>
          </cell>
        </row>
        <row r="817">
          <cell r="B817" t="str">
            <v>1410-EQH0109</v>
          </cell>
          <cell r="C817" t="str">
            <v>M46</v>
          </cell>
        </row>
        <row r="818">
          <cell r="B818" t="str">
            <v>1410-EQH0112</v>
          </cell>
          <cell r="C818" t="str">
            <v>M46</v>
          </cell>
        </row>
        <row r="819">
          <cell r="B819" t="str">
            <v>1410-EQH0114</v>
          </cell>
          <cell r="C819" t="str">
            <v>M46</v>
          </cell>
        </row>
        <row r="820">
          <cell r="B820" t="str">
            <v>1410-EQH0117</v>
          </cell>
          <cell r="C820" t="str">
            <v>M46</v>
          </cell>
        </row>
        <row r="821">
          <cell r="B821" t="str">
            <v>1410-EQH0118</v>
          </cell>
          <cell r="C821" t="str">
            <v>M46</v>
          </cell>
        </row>
        <row r="822">
          <cell r="B822" t="str">
            <v>1410-EQH0119</v>
          </cell>
          <cell r="C822" t="str">
            <v>M46</v>
          </cell>
        </row>
        <row r="823">
          <cell r="B823" t="str">
            <v>1410-EQH0120</v>
          </cell>
          <cell r="C823" t="str">
            <v>M46</v>
          </cell>
        </row>
        <row r="824">
          <cell r="B824" t="str">
            <v>1410-EQM0004</v>
          </cell>
          <cell r="C824" t="str">
            <v>M46</v>
          </cell>
        </row>
        <row r="825">
          <cell r="B825" t="str">
            <v>1410-EQM0008EN</v>
          </cell>
          <cell r="C825" t="str">
            <v>M46</v>
          </cell>
        </row>
        <row r="826">
          <cell r="B826" t="str">
            <v>1414-1YY0042</v>
          </cell>
          <cell r="C826" t="str">
            <v>M46</v>
          </cell>
        </row>
        <row r="827">
          <cell r="B827" t="str">
            <v>1414-EGK0001</v>
          </cell>
          <cell r="C827" t="str">
            <v>M46</v>
          </cell>
        </row>
        <row r="828">
          <cell r="B828" t="str">
            <v>1414-EHG0004</v>
          </cell>
          <cell r="C828" t="str">
            <v>M46</v>
          </cell>
        </row>
        <row r="829">
          <cell r="B829" t="str">
            <v>1414-EQH0006</v>
          </cell>
          <cell r="C829" t="str">
            <v>M46</v>
          </cell>
        </row>
        <row r="830">
          <cell r="B830" t="str">
            <v>1414-EQH0007</v>
          </cell>
          <cell r="C830" t="str">
            <v>M46</v>
          </cell>
        </row>
        <row r="831">
          <cell r="B831" t="str">
            <v>1414-EQH0020</v>
          </cell>
          <cell r="C831" t="str">
            <v>M46</v>
          </cell>
        </row>
        <row r="832">
          <cell r="B832" t="str">
            <v>1414-EQH0023</v>
          </cell>
          <cell r="C832" t="str">
            <v>M46</v>
          </cell>
        </row>
        <row r="833">
          <cell r="B833" t="str">
            <v>1414-EQH0024</v>
          </cell>
          <cell r="C833" t="str">
            <v>M46</v>
          </cell>
        </row>
        <row r="834">
          <cell r="B834" t="str">
            <v>1414-EQH0026</v>
          </cell>
          <cell r="C834" t="str">
            <v>M46</v>
          </cell>
        </row>
        <row r="835">
          <cell r="B835" t="str">
            <v>1414-EQH0029</v>
          </cell>
          <cell r="C835" t="str">
            <v>M46</v>
          </cell>
        </row>
        <row r="836">
          <cell r="B836" t="str">
            <v>1414-EQH0030</v>
          </cell>
          <cell r="C836" t="str">
            <v>M46</v>
          </cell>
        </row>
        <row r="837">
          <cell r="B837" t="str">
            <v>1414-EQH0031</v>
          </cell>
          <cell r="C837" t="str">
            <v>M46</v>
          </cell>
        </row>
        <row r="838">
          <cell r="B838" t="str">
            <v>1414-EQH0032</v>
          </cell>
          <cell r="C838" t="str">
            <v>M46</v>
          </cell>
        </row>
        <row r="839">
          <cell r="B839" t="str">
            <v>1414-EQH0033</v>
          </cell>
          <cell r="C839" t="str">
            <v>M46</v>
          </cell>
        </row>
        <row r="840">
          <cell r="B840" t="str">
            <v>1414-EQH0034</v>
          </cell>
          <cell r="C840" t="str">
            <v>M46</v>
          </cell>
        </row>
        <row r="841">
          <cell r="B841" t="str">
            <v>1414-EQH0035</v>
          </cell>
          <cell r="C841" t="str">
            <v>M46</v>
          </cell>
        </row>
        <row r="842">
          <cell r="B842" t="str">
            <v>1414-EQH0036</v>
          </cell>
          <cell r="C842" t="str">
            <v>M46</v>
          </cell>
        </row>
        <row r="843">
          <cell r="B843" t="str">
            <v>1414-EQH0037</v>
          </cell>
          <cell r="C843" t="str">
            <v>M46</v>
          </cell>
        </row>
        <row r="844">
          <cell r="B844" t="str">
            <v>1414-EQH0038</v>
          </cell>
          <cell r="C844" t="str">
            <v>M46</v>
          </cell>
        </row>
        <row r="845">
          <cell r="B845" t="str">
            <v>1414-EQH0039</v>
          </cell>
          <cell r="C845" t="str">
            <v>M46</v>
          </cell>
        </row>
        <row r="846">
          <cell r="B846" t="str">
            <v>1414-EQH0041</v>
          </cell>
          <cell r="C846" t="str">
            <v>M46</v>
          </cell>
        </row>
        <row r="847">
          <cell r="B847" t="str">
            <v>1414-EQH0042</v>
          </cell>
          <cell r="C847" t="str">
            <v>M46</v>
          </cell>
        </row>
        <row r="848">
          <cell r="B848" t="str">
            <v>1414-EQH0045</v>
          </cell>
          <cell r="C848" t="str">
            <v>M46</v>
          </cell>
        </row>
        <row r="849">
          <cell r="B849" t="str">
            <v>1414-EQH0046</v>
          </cell>
          <cell r="C849" t="str">
            <v>M46</v>
          </cell>
        </row>
        <row r="850">
          <cell r="B850" t="str">
            <v>1414-EQH0047</v>
          </cell>
          <cell r="C850" t="str">
            <v>M46</v>
          </cell>
        </row>
        <row r="851">
          <cell r="B851" t="str">
            <v>1414-EQH0048</v>
          </cell>
          <cell r="C851" t="str">
            <v>M46</v>
          </cell>
        </row>
        <row r="852">
          <cell r="B852" t="str">
            <v>1414-EQH0049</v>
          </cell>
          <cell r="C852" t="str">
            <v>M46</v>
          </cell>
        </row>
        <row r="853">
          <cell r="B853" t="str">
            <v>1414-EQH0051</v>
          </cell>
          <cell r="C853" t="str">
            <v>M46</v>
          </cell>
        </row>
        <row r="854">
          <cell r="B854" t="str">
            <v>1414-EQN0001</v>
          </cell>
          <cell r="C854" t="str">
            <v>M46</v>
          </cell>
        </row>
        <row r="855">
          <cell r="B855" t="str">
            <v>1414-M020001</v>
          </cell>
          <cell r="C855" t="str">
            <v>M46</v>
          </cell>
        </row>
        <row r="856">
          <cell r="B856" t="str">
            <v>1414-MYY0001</v>
          </cell>
          <cell r="C856" t="str">
            <v>M46</v>
          </cell>
        </row>
        <row r="857">
          <cell r="B857" t="str">
            <v>1414-MYY0002</v>
          </cell>
          <cell r="C857" t="str">
            <v>M46</v>
          </cell>
        </row>
        <row r="858">
          <cell r="B858" t="str">
            <v>1414-MYY0013</v>
          </cell>
          <cell r="C858" t="str">
            <v>M46</v>
          </cell>
        </row>
        <row r="859">
          <cell r="B859" t="str">
            <v>1414-MYY0014</v>
          </cell>
          <cell r="C859" t="str">
            <v>M46</v>
          </cell>
        </row>
        <row r="860">
          <cell r="B860" t="str">
            <v>1414-MYY0016</v>
          </cell>
          <cell r="C860" t="str">
            <v>M46</v>
          </cell>
        </row>
        <row r="861">
          <cell r="B861" t="str">
            <v>1414-MYY0017</v>
          </cell>
          <cell r="C861" t="str">
            <v>M46</v>
          </cell>
        </row>
        <row r="862">
          <cell r="B862" t="str">
            <v>1414-MYY0019</v>
          </cell>
          <cell r="C862" t="str">
            <v>M46</v>
          </cell>
        </row>
        <row r="863">
          <cell r="B863" t="str">
            <v>1414-MYY0020</v>
          </cell>
          <cell r="C863" t="str">
            <v>M46</v>
          </cell>
        </row>
        <row r="864">
          <cell r="B864" t="str">
            <v>1414-MYY0021</v>
          </cell>
          <cell r="C864" t="str">
            <v>M46</v>
          </cell>
        </row>
        <row r="865">
          <cell r="B865" t="str">
            <v>1414-MYY0022</v>
          </cell>
          <cell r="C865" t="str">
            <v>M46</v>
          </cell>
        </row>
        <row r="866">
          <cell r="B866" t="str">
            <v>1414-MYY0024</v>
          </cell>
          <cell r="C866" t="str">
            <v>M46</v>
          </cell>
        </row>
        <row r="867">
          <cell r="B867" t="str">
            <v>1414-MYY0026</v>
          </cell>
          <cell r="C867" t="str">
            <v>M46</v>
          </cell>
        </row>
        <row r="868">
          <cell r="B868" t="str">
            <v>1415-9YY0010EN</v>
          </cell>
          <cell r="C868" t="str">
            <v>M46</v>
          </cell>
        </row>
        <row r="869">
          <cell r="B869" t="str">
            <v>1415-9YY0011EN</v>
          </cell>
          <cell r="C869" t="str">
            <v>M46</v>
          </cell>
        </row>
        <row r="870">
          <cell r="B870" t="str">
            <v>1415-9YY0026EN</v>
          </cell>
          <cell r="C870" t="str">
            <v>M46</v>
          </cell>
        </row>
        <row r="871">
          <cell r="B871" t="str">
            <v>1415-9YY0028EN</v>
          </cell>
          <cell r="C871" t="str">
            <v>M46</v>
          </cell>
        </row>
        <row r="872">
          <cell r="B872" t="str">
            <v>1415-EGJ0001</v>
          </cell>
          <cell r="C872" t="str">
            <v>M46</v>
          </cell>
        </row>
        <row r="873">
          <cell r="B873" t="str">
            <v>1415-EGN0006/MX</v>
          </cell>
          <cell r="C873" t="str">
            <v>M46</v>
          </cell>
        </row>
        <row r="874">
          <cell r="B874" t="str">
            <v>1415-EGN0016/MX</v>
          </cell>
          <cell r="C874" t="str">
            <v>M46</v>
          </cell>
        </row>
        <row r="875">
          <cell r="B875" t="str">
            <v>1415-EGN0019/MX</v>
          </cell>
          <cell r="C875" t="str">
            <v>M46</v>
          </cell>
        </row>
        <row r="876">
          <cell r="B876" t="str">
            <v>1415-EGP0001</v>
          </cell>
          <cell r="C876" t="str">
            <v>M46</v>
          </cell>
        </row>
        <row r="877">
          <cell r="B877" t="str">
            <v>1415-EGP0003</v>
          </cell>
          <cell r="C877" t="str">
            <v>M46</v>
          </cell>
        </row>
        <row r="878">
          <cell r="B878" t="str">
            <v>1415-EGP0004</v>
          </cell>
          <cell r="C878" t="str">
            <v>M46</v>
          </cell>
        </row>
        <row r="879">
          <cell r="B879" t="str">
            <v>1415-EGP0006</v>
          </cell>
          <cell r="C879" t="str">
            <v>M46</v>
          </cell>
        </row>
        <row r="880">
          <cell r="B880" t="str">
            <v>1415-EGP0008</v>
          </cell>
          <cell r="C880" t="str">
            <v>M46</v>
          </cell>
        </row>
        <row r="881">
          <cell r="B881" t="str">
            <v>1415-EGP0010</v>
          </cell>
          <cell r="C881" t="str">
            <v>M46</v>
          </cell>
        </row>
        <row r="882">
          <cell r="B882" t="str">
            <v>1415-EGP0020</v>
          </cell>
          <cell r="C882" t="str">
            <v>M46</v>
          </cell>
        </row>
        <row r="883">
          <cell r="B883" t="str">
            <v>1415-EHL0006</v>
          </cell>
          <cell r="C883" t="str">
            <v>M46</v>
          </cell>
        </row>
        <row r="884">
          <cell r="B884" t="str">
            <v>1415-EHL0007</v>
          </cell>
          <cell r="C884" t="str">
            <v>M46</v>
          </cell>
        </row>
        <row r="885">
          <cell r="B885" t="str">
            <v>1415-EQG0001</v>
          </cell>
          <cell r="C885" t="str">
            <v>M46</v>
          </cell>
        </row>
        <row r="886">
          <cell r="B886" t="str">
            <v>1415-EQH0001</v>
          </cell>
          <cell r="C886" t="str">
            <v>M46</v>
          </cell>
        </row>
        <row r="887">
          <cell r="B887" t="str">
            <v>1415-EQH0002</v>
          </cell>
          <cell r="C887" t="str">
            <v>M46</v>
          </cell>
        </row>
        <row r="888">
          <cell r="B888" t="str">
            <v>1415-EQH0003</v>
          </cell>
          <cell r="C888" t="str">
            <v>M46</v>
          </cell>
        </row>
        <row r="889">
          <cell r="B889" t="str">
            <v>1415-EQH0004</v>
          </cell>
          <cell r="C889" t="str">
            <v>M46</v>
          </cell>
        </row>
        <row r="890">
          <cell r="B890" t="str">
            <v>1415-EQH0006</v>
          </cell>
          <cell r="C890" t="str">
            <v>M46</v>
          </cell>
        </row>
        <row r="891">
          <cell r="B891" t="str">
            <v>1415-EQH0007</v>
          </cell>
          <cell r="C891" t="str">
            <v>M46</v>
          </cell>
        </row>
        <row r="892">
          <cell r="B892" t="str">
            <v>1415-EQH0008</v>
          </cell>
          <cell r="C892" t="str">
            <v>M46</v>
          </cell>
        </row>
        <row r="893">
          <cell r="B893" t="str">
            <v>1415-EQH0009</v>
          </cell>
          <cell r="C893" t="str">
            <v>M46</v>
          </cell>
        </row>
        <row r="894">
          <cell r="B894" t="str">
            <v>1415-EQH0010</v>
          </cell>
          <cell r="C894" t="str">
            <v>M46</v>
          </cell>
        </row>
        <row r="895">
          <cell r="B895" t="str">
            <v>1415-EQN0001</v>
          </cell>
          <cell r="C895" t="str">
            <v>M46</v>
          </cell>
        </row>
        <row r="896">
          <cell r="B896" t="str">
            <v>1415-EQN0002</v>
          </cell>
          <cell r="C896" t="str">
            <v>M46</v>
          </cell>
        </row>
        <row r="897">
          <cell r="B897" t="str">
            <v>1415-EQN0002EN</v>
          </cell>
          <cell r="C897" t="str">
            <v>M46</v>
          </cell>
        </row>
        <row r="898">
          <cell r="B898" t="str">
            <v>1415-EQN0003</v>
          </cell>
          <cell r="C898" t="str">
            <v>M46</v>
          </cell>
        </row>
        <row r="899">
          <cell r="B899" t="str">
            <v>1415-EQN0003EN</v>
          </cell>
          <cell r="C899" t="str">
            <v>M46</v>
          </cell>
        </row>
        <row r="900">
          <cell r="B900" t="str">
            <v>1415-EQN0004EN</v>
          </cell>
          <cell r="C900" t="str">
            <v>M46</v>
          </cell>
        </row>
        <row r="901">
          <cell r="B901" t="str">
            <v>1415-EQN0005EN</v>
          </cell>
          <cell r="C901" t="str">
            <v>M46</v>
          </cell>
        </row>
        <row r="902">
          <cell r="B902" t="str">
            <v>1415-EQN0006EN</v>
          </cell>
          <cell r="C902" t="str">
            <v>M46</v>
          </cell>
        </row>
        <row r="903">
          <cell r="B903" t="str">
            <v>1415-EQN0007EN</v>
          </cell>
          <cell r="C903" t="str">
            <v>M46</v>
          </cell>
        </row>
        <row r="904">
          <cell r="B904" t="str">
            <v>1415-MYY0001</v>
          </cell>
          <cell r="C904" t="str">
            <v>M46</v>
          </cell>
        </row>
        <row r="905">
          <cell r="B905" t="str">
            <v>1415-MYY0002</v>
          </cell>
          <cell r="C905" t="str">
            <v>M46</v>
          </cell>
        </row>
        <row r="906">
          <cell r="B906" t="str">
            <v>1415-MYY0003</v>
          </cell>
          <cell r="C906" t="str">
            <v>M46</v>
          </cell>
        </row>
        <row r="907">
          <cell r="B907" t="str">
            <v>1415-MYY0004</v>
          </cell>
          <cell r="C907" t="str">
            <v>M46</v>
          </cell>
        </row>
        <row r="908">
          <cell r="B908" t="str">
            <v>1415-MYY0005</v>
          </cell>
          <cell r="C908" t="str">
            <v>M46</v>
          </cell>
        </row>
        <row r="909">
          <cell r="B909" t="str">
            <v>1415-MYY0006</v>
          </cell>
          <cell r="C909" t="str">
            <v>M46</v>
          </cell>
        </row>
        <row r="910">
          <cell r="B910" t="str">
            <v>1415-MYY0007/MX</v>
          </cell>
          <cell r="C910" t="str">
            <v>M46</v>
          </cell>
        </row>
        <row r="911">
          <cell r="B911" t="str">
            <v>1415-MYY0008/MX</v>
          </cell>
          <cell r="C911" t="str">
            <v>M46</v>
          </cell>
        </row>
        <row r="912">
          <cell r="B912" t="str">
            <v>1415-MYY0009/MX</v>
          </cell>
          <cell r="C912" t="str">
            <v>M46</v>
          </cell>
        </row>
        <row r="913">
          <cell r="B913" t="str">
            <v>1415-MYY0012</v>
          </cell>
          <cell r="C913" t="str">
            <v>M46</v>
          </cell>
        </row>
        <row r="914">
          <cell r="B914" t="str">
            <v>1415-MYY0013</v>
          </cell>
          <cell r="C914" t="str">
            <v>M46</v>
          </cell>
        </row>
        <row r="915">
          <cell r="B915" t="str">
            <v>1415-MYY0014</v>
          </cell>
          <cell r="C915" t="str">
            <v>M46</v>
          </cell>
        </row>
        <row r="916">
          <cell r="B916" t="str">
            <v>1415-MYY0015</v>
          </cell>
          <cell r="C916" t="str">
            <v>M46</v>
          </cell>
        </row>
        <row r="917">
          <cell r="B917" t="str">
            <v>1415-MYY0016</v>
          </cell>
          <cell r="C917" t="str">
            <v>M46</v>
          </cell>
        </row>
        <row r="918">
          <cell r="B918" t="str">
            <v>1415-MYY0017/MX</v>
          </cell>
          <cell r="C918" t="str">
            <v>M46</v>
          </cell>
        </row>
        <row r="919">
          <cell r="B919" t="str">
            <v>1415-MYY0018/MX</v>
          </cell>
          <cell r="C919" t="str">
            <v>M46</v>
          </cell>
        </row>
        <row r="920">
          <cell r="B920" t="str">
            <v>1415-MYY0019</v>
          </cell>
          <cell r="C920" t="str">
            <v>M46</v>
          </cell>
        </row>
        <row r="921">
          <cell r="B921" t="str">
            <v>1415-MYY0020</v>
          </cell>
          <cell r="C921" t="str">
            <v>M46</v>
          </cell>
        </row>
        <row r="922">
          <cell r="B922" t="str">
            <v>1415-MYY0021</v>
          </cell>
          <cell r="C922" t="str">
            <v>M46</v>
          </cell>
        </row>
        <row r="923">
          <cell r="B923" t="str">
            <v>1415-MYY0022</v>
          </cell>
          <cell r="C923" t="str">
            <v>M46</v>
          </cell>
        </row>
        <row r="924">
          <cell r="B924" t="str">
            <v>1415-MYY0023</v>
          </cell>
          <cell r="C924" t="str">
            <v>M46</v>
          </cell>
        </row>
        <row r="925">
          <cell r="B925" t="str">
            <v>1415-MYY0024</v>
          </cell>
          <cell r="C925" t="str">
            <v>M46</v>
          </cell>
        </row>
        <row r="926">
          <cell r="B926" t="str">
            <v>1415-MYY0025/MX</v>
          </cell>
          <cell r="C926" t="str">
            <v>M46</v>
          </cell>
        </row>
        <row r="927">
          <cell r="B927" t="str">
            <v>1415-MYY0026/MX</v>
          </cell>
          <cell r="C927" t="str">
            <v>M46</v>
          </cell>
        </row>
        <row r="928">
          <cell r="B928" t="str">
            <v>1415-MYY0027/MX</v>
          </cell>
          <cell r="C928" t="str">
            <v>M46</v>
          </cell>
        </row>
        <row r="929">
          <cell r="B929" t="str">
            <v>1415-MYY0028/MX</v>
          </cell>
          <cell r="C929" t="str">
            <v>M46</v>
          </cell>
        </row>
        <row r="930">
          <cell r="B930" t="str">
            <v>1415-MYY0029/MX</v>
          </cell>
          <cell r="C930" t="str">
            <v>M46</v>
          </cell>
        </row>
        <row r="931">
          <cell r="B931" t="str">
            <v>1415-MYY0030/MX</v>
          </cell>
          <cell r="C931" t="str">
            <v>M46</v>
          </cell>
        </row>
        <row r="932">
          <cell r="B932" t="str">
            <v>1415-MYY0031/MX</v>
          </cell>
          <cell r="C932" t="str">
            <v>M46</v>
          </cell>
        </row>
        <row r="933">
          <cell r="B933" t="str">
            <v>1415-MYY0032/MX</v>
          </cell>
          <cell r="C933" t="str">
            <v>M46</v>
          </cell>
        </row>
        <row r="934">
          <cell r="B934" t="str">
            <v>1415-MYY0033</v>
          </cell>
          <cell r="C934" t="str">
            <v>M46</v>
          </cell>
        </row>
        <row r="935">
          <cell r="B935" t="str">
            <v>1415-MYY0034</v>
          </cell>
          <cell r="C935" t="str">
            <v>M46</v>
          </cell>
        </row>
        <row r="936">
          <cell r="B936" t="str">
            <v>1415-MYY0035</v>
          </cell>
          <cell r="C936" t="str">
            <v>M46</v>
          </cell>
        </row>
        <row r="937">
          <cell r="B937" t="str">
            <v>1415-MYY0036</v>
          </cell>
          <cell r="C937" t="str">
            <v>M46</v>
          </cell>
        </row>
        <row r="938">
          <cell r="B938" t="str">
            <v>1415-MYY0037</v>
          </cell>
          <cell r="C938" t="str">
            <v>M46</v>
          </cell>
        </row>
        <row r="939">
          <cell r="B939" t="str">
            <v>1415-MYY0038</v>
          </cell>
          <cell r="C939" t="str">
            <v>M46</v>
          </cell>
        </row>
        <row r="940">
          <cell r="B940" t="str">
            <v>1415-MYY0039</v>
          </cell>
          <cell r="C940" t="str">
            <v>M46</v>
          </cell>
        </row>
        <row r="941">
          <cell r="B941" t="str">
            <v>1415-MYY0040</v>
          </cell>
          <cell r="C941" t="str">
            <v>M46</v>
          </cell>
        </row>
        <row r="942">
          <cell r="B942" t="str">
            <v>1415-MYY0041</v>
          </cell>
          <cell r="C942" t="str">
            <v>M46</v>
          </cell>
        </row>
        <row r="943">
          <cell r="B943" t="str">
            <v>1415-MYY0042</v>
          </cell>
          <cell r="C943" t="str">
            <v>M46</v>
          </cell>
        </row>
        <row r="944">
          <cell r="B944" t="str">
            <v>1415-MYY0043</v>
          </cell>
          <cell r="C944" t="str">
            <v>M46</v>
          </cell>
        </row>
        <row r="945">
          <cell r="B945" t="str">
            <v>1415-MYY0044</v>
          </cell>
          <cell r="C945" t="str">
            <v>M46</v>
          </cell>
        </row>
        <row r="946">
          <cell r="B946" t="str">
            <v>1415-MYY0045</v>
          </cell>
          <cell r="C946" t="str">
            <v>M46</v>
          </cell>
        </row>
        <row r="947">
          <cell r="B947" t="str">
            <v>1415-MYY0046</v>
          </cell>
          <cell r="C947" t="str">
            <v>M46</v>
          </cell>
        </row>
        <row r="948">
          <cell r="B948" t="str">
            <v>1415-MYY0047</v>
          </cell>
          <cell r="C948" t="str">
            <v>M46</v>
          </cell>
        </row>
        <row r="949">
          <cell r="B949" t="str">
            <v>1415-MYY0048</v>
          </cell>
          <cell r="C949" t="str">
            <v>M46</v>
          </cell>
        </row>
        <row r="950">
          <cell r="B950" t="str">
            <v>1415-MYY0049</v>
          </cell>
          <cell r="C950" t="str">
            <v>M46</v>
          </cell>
        </row>
        <row r="951">
          <cell r="B951" t="str">
            <v>1415-MYY0050</v>
          </cell>
          <cell r="C951" t="str">
            <v>M46</v>
          </cell>
        </row>
        <row r="952">
          <cell r="B952" t="str">
            <v>1415-MYY0052/MX</v>
          </cell>
          <cell r="C952" t="str">
            <v>M46</v>
          </cell>
        </row>
        <row r="953">
          <cell r="B953" t="str">
            <v>1415-MYY0053</v>
          </cell>
          <cell r="C953" t="str">
            <v>M46</v>
          </cell>
        </row>
        <row r="954">
          <cell r="B954" t="str">
            <v>1415-MYY0053EN</v>
          </cell>
          <cell r="C954" t="str">
            <v>M46</v>
          </cell>
        </row>
        <row r="955">
          <cell r="B955" t="str">
            <v>1415-MYY0054</v>
          </cell>
          <cell r="C955" t="str">
            <v>M46</v>
          </cell>
        </row>
        <row r="956">
          <cell r="B956" t="str">
            <v>1415-MYY0055</v>
          </cell>
          <cell r="C956" t="str">
            <v>M46</v>
          </cell>
        </row>
        <row r="957">
          <cell r="B957" t="str">
            <v>1415-MYY0057</v>
          </cell>
          <cell r="C957" t="str">
            <v>M46</v>
          </cell>
        </row>
        <row r="958">
          <cell r="B958" t="str">
            <v>1415-MYY0058EN</v>
          </cell>
          <cell r="C958" t="str">
            <v>M46</v>
          </cell>
        </row>
        <row r="959">
          <cell r="B959" t="str">
            <v>1415-MYY0059EN</v>
          </cell>
          <cell r="C959" t="str">
            <v>M46</v>
          </cell>
        </row>
        <row r="960">
          <cell r="B960" t="str">
            <v>1415-MYY0060EN</v>
          </cell>
          <cell r="C960" t="str">
            <v>M46</v>
          </cell>
        </row>
        <row r="961">
          <cell r="B961" t="str">
            <v>1415-MYY0061</v>
          </cell>
          <cell r="C961" t="str">
            <v>M46</v>
          </cell>
        </row>
        <row r="962">
          <cell r="B962" t="str">
            <v>1415-MYY0069/MX</v>
          </cell>
          <cell r="C962" t="str">
            <v>M46</v>
          </cell>
        </row>
        <row r="963">
          <cell r="B963" t="str">
            <v>1420-EJB0007</v>
          </cell>
          <cell r="C963" t="str">
            <v>M46</v>
          </cell>
        </row>
        <row r="964">
          <cell r="B964" t="str">
            <v>1420-EJB0012</v>
          </cell>
          <cell r="C964" t="str">
            <v>M46</v>
          </cell>
        </row>
        <row r="965">
          <cell r="B965" t="str">
            <v>1420-EJB0014</v>
          </cell>
          <cell r="C965" t="str">
            <v>M46</v>
          </cell>
        </row>
        <row r="966">
          <cell r="B966" t="str">
            <v>1420-EJB0016</v>
          </cell>
          <cell r="C966" t="str">
            <v>M46</v>
          </cell>
        </row>
        <row r="967">
          <cell r="B967" t="str">
            <v>1420-EJB0017</v>
          </cell>
          <cell r="C967" t="str">
            <v>M46</v>
          </cell>
        </row>
        <row r="968">
          <cell r="B968" t="str">
            <v>1420-EQH0001</v>
          </cell>
          <cell r="C968" t="str">
            <v>M46</v>
          </cell>
        </row>
        <row r="969">
          <cell r="B969" t="str">
            <v>1426-EJB0040</v>
          </cell>
          <cell r="C969" t="str">
            <v>M46</v>
          </cell>
        </row>
        <row r="970">
          <cell r="B970" t="str">
            <v>1426-EJB0051</v>
          </cell>
          <cell r="C970" t="str">
            <v>M46</v>
          </cell>
        </row>
        <row r="971">
          <cell r="B971" t="str">
            <v>1426-EJB0054</v>
          </cell>
          <cell r="C971" t="str">
            <v>M46</v>
          </cell>
        </row>
        <row r="972">
          <cell r="B972" t="str">
            <v>1426-EJB0055</v>
          </cell>
          <cell r="C972" t="str">
            <v>M46</v>
          </cell>
        </row>
        <row r="973">
          <cell r="B973" t="str">
            <v>1426-EJB0055EN</v>
          </cell>
          <cell r="C973" t="str">
            <v>M46</v>
          </cell>
        </row>
        <row r="974">
          <cell r="B974" t="str">
            <v>1426-EJB0056</v>
          </cell>
          <cell r="C974" t="str">
            <v>M46</v>
          </cell>
        </row>
        <row r="975">
          <cell r="B975" t="str">
            <v>1426-EJB0058</v>
          </cell>
          <cell r="C975" t="str">
            <v>M46</v>
          </cell>
        </row>
        <row r="976">
          <cell r="B976" t="str">
            <v>1426-EJB0061</v>
          </cell>
          <cell r="C976" t="str">
            <v>M46</v>
          </cell>
        </row>
        <row r="977">
          <cell r="B977" t="str">
            <v>1426-EJB0063</v>
          </cell>
          <cell r="C977" t="str">
            <v>M46</v>
          </cell>
        </row>
        <row r="978">
          <cell r="B978" t="str">
            <v>1431-EQH0002</v>
          </cell>
          <cell r="C978" t="str">
            <v>M46</v>
          </cell>
        </row>
        <row r="979">
          <cell r="B979" t="str">
            <v>1431-EQH0003</v>
          </cell>
          <cell r="C979" t="str">
            <v>M46</v>
          </cell>
        </row>
        <row r="980">
          <cell r="B980" t="str">
            <v>1431-MYY0001</v>
          </cell>
          <cell r="C980" t="str">
            <v>M46</v>
          </cell>
        </row>
        <row r="981">
          <cell r="B981" t="str">
            <v>1431-MYY0002</v>
          </cell>
          <cell r="C981" t="str">
            <v>M46</v>
          </cell>
        </row>
        <row r="982">
          <cell r="B982" t="str">
            <v>1438-8GA0001EN/MX</v>
          </cell>
          <cell r="C982" t="str">
            <v>M46</v>
          </cell>
        </row>
        <row r="983">
          <cell r="B983" t="str">
            <v>1438-EQH0013</v>
          </cell>
          <cell r="C983" t="str">
            <v>M46</v>
          </cell>
        </row>
        <row r="984">
          <cell r="B984" t="str">
            <v>1438-EQH0028</v>
          </cell>
          <cell r="C984" t="str">
            <v>M46</v>
          </cell>
        </row>
        <row r="985">
          <cell r="B985" t="str">
            <v>1438-EQH0039</v>
          </cell>
          <cell r="C985" t="str">
            <v>M46</v>
          </cell>
        </row>
        <row r="986">
          <cell r="B986" t="str">
            <v>1438-EQH0040</v>
          </cell>
          <cell r="C986" t="str">
            <v>M46</v>
          </cell>
        </row>
        <row r="987">
          <cell r="B987" t="str">
            <v>1438-EQH0042</v>
          </cell>
          <cell r="C987" t="str">
            <v>M46</v>
          </cell>
        </row>
        <row r="988">
          <cell r="B988" t="str">
            <v>1438-EQH0043</v>
          </cell>
          <cell r="C988" t="str">
            <v>M46</v>
          </cell>
        </row>
        <row r="989">
          <cell r="B989" t="str">
            <v>1438-EQH0044</v>
          </cell>
          <cell r="C989" t="str">
            <v>M46</v>
          </cell>
        </row>
        <row r="990">
          <cell r="B990" t="str">
            <v>1438-EQH0051</v>
          </cell>
          <cell r="C990" t="str">
            <v>M46</v>
          </cell>
        </row>
        <row r="991">
          <cell r="B991" t="str">
            <v>1438-EQH0053</v>
          </cell>
          <cell r="C991" t="str">
            <v>M46</v>
          </cell>
        </row>
        <row r="992">
          <cell r="B992" t="str">
            <v>1438-EQH0054</v>
          </cell>
          <cell r="C992" t="str">
            <v>M46</v>
          </cell>
        </row>
        <row r="993">
          <cell r="B993" t="str">
            <v>1438-EQH0055</v>
          </cell>
          <cell r="C993" t="str">
            <v>M46</v>
          </cell>
        </row>
        <row r="994">
          <cell r="B994" t="str">
            <v>1438-EQM0058</v>
          </cell>
          <cell r="C994" t="str">
            <v>M46</v>
          </cell>
        </row>
        <row r="995">
          <cell r="B995" t="str">
            <v>1438-EQM0074</v>
          </cell>
          <cell r="C995" t="str">
            <v>M46</v>
          </cell>
        </row>
        <row r="996">
          <cell r="B996" t="str">
            <v>1438-EQM0082</v>
          </cell>
          <cell r="C996" t="str">
            <v>M46</v>
          </cell>
        </row>
        <row r="997">
          <cell r="B997" t="str">
            <v>1446-9YY0003</v>
          </cell>
          <cell r="C997" t="str">
            <v>M46</v>
          </cell>
        </row>
        <row r="998">
          <cell r="B998" t="str">
            <v>1455-EQN0001</v>
          </cell>
          <cell r="C998" t="str">
            <v>M46</v>
          </cell>
        </row>
        <row r="999">
          <cell r="B999" t="str">
            <v>1459-EGN0003/MX</v>
          </cell>
          <cell r="C999" t="str">
            <v>M46</v>
          </cell>
        </row>
        <row r="1000">
          <cell r="B1000" t="str">
            <v>1459-EGP0004</v>
          </cell>
          <cell r="C1000" t="str">
            <v>M46</v>
          </cell>
        </row>
        <row r="1001">
          <cell r="B1001" t="str">
            <v>1459-EJB0007</v>
          </cell>
          <cell r="C1001" t="str">
            <v>M46</v>
          </cell>
        </row>
        <row r="1002">
          <cell r="B1002" t="str">
            <v>1459-EQH0003</v>
          </cell>
          <cell r="C1002" t="str">
            <v>M46</v>
          </cell>
        </row>
        <row r="1003">
          <cell r="B1003" t="str">
            <v>1459-EQH0004</v>
          </cell>
          <cell r="C1003" t="str">
            <v>M46</v>
          </cell>
        </row>
        <row r="1004">
          <cell r="B1004" t="str">
            <v>1459-EQH0005</v>
          </cell>
          <cell r="C1004" t="str">
            <v>M46</v>
          </cell>
        </row>
        <row r="1005">
          <cell r="B1005" t="str">
            <v>1459-EQN0001EN</v>
          </cell>
          <cell r="C1005" t="str">
            <v>M46</v>
          </cell>
        </row>
        <row r="1006">
          <cell r="B1006" t="str">
            <v>1459-MYY0002</v>
          </cell>
          <cell r="C1006" t="str">
            <v>M46</v>
          </cell>
        </row>
        <row r="1007">
          <cell r="B1007" t="str">
            <v>1473-9YY0004</v>
          </cell>
          <cell r="C1007" t="str">
            <v>M46</v>
          </cell>
        </row>
        <row r="1008">
          <cell r="B1008" t="str">
            <v>1473-9YY0005</v>
          </cell>
          <cell r="C1008" t="str">
            <v>M46</v>
          </cell>
        </row>
        <row r="1009">
          <cell r="B1009" t="str">
            <v>1473-EQN0001</v>
          </cell>
          <cell r="C1009" t="str">
            <v>M46</v>
          </cell>
        </row>
        <row r="1010">
          <cell r="B1010" t="str">
            <v>1473-MYY0001</v>
          </cell>
          <cell r="C1010" t="str">
            <v>M46</v>
          </cell>
        </row>
        <row r="1011">
          <cell r="B1011" t="str">
            <v>1480-MYY0001</v>
          </cell>
          <cell r="C1011" t="str">
            <v>M46</v>
          </cell>
        </row>
        <row r="1012">
          <cell r="B1012" t="str">
            <v>1480-MYY0001/MX</v>
          </cell>
          <cell r="C1012" t="str">
            <v>M46</v>
          </cell>
        </row>
        <row r="1013">
          <cell r="B1013" t="str">
            <v>1480-MYY0002</v>
          </cell>
          <cell r="C1013" t="str">
            <v>M46</v>
          </cell>
        </row>
        <row r="1014">
          <cell r="B1014" t="str">
            <v>1480-MYY0002/MX</v>
          </cell>
          <cell r="C1014" t="str">
            <v>M46</v>
          </cell>
        </row>
        <row r="1015">
          <cell r="B1015" t="str">
            <v>1480-MYY0003</v>
          </cell>
          <cell r="C1015" t="str">
            <v>M46</v>
          </cell>
        </row>
        <row r="1016">
          <cell r="B1016" t="str">
            <v>1480-MYY0003/MX</v>
          </cell>
          <cell r="C1016" t="str">
            <v>M46</v>
          </cell>
        </row>
        <row r="1017">
          <cell r="B1017" t="str">
            <v>1488-9GA0001</v>
          </cell>
          <cell r="C1017" t="str">
            <v>M46</v>
          </cell>
        </row>
        <row r="1018">
          <cell r="B1018" t="str">
            <v>1500-1YY0186</v>
          </cell>
          <cell r="C1018" t="str">
            <v>M46</v>
          </cell>
        </row>
        <row r="1019">
          <cell r="B1019" t="str">
            <v>1500-1YY0223/MX</v>
          </cell>
          <cell r="C1019" t="str">
            <v>M46</v>
          </cell>
        </row>
        <row r="1020">
          <cell r="B1020" t="str">
            <v>1500-EGN0001</v>
          </cell>
          <cell r="C1020" t="str">
            <v>M46</v>
          </cell>
        </row>
        <row r="1021">
          <cell r="B1021" t="str">
            <v>1500-EGN0002</v>
          </cell>
          <cell r="C1021" t="str">
            <v>M46</v>
          </cell>
        </row>
        <row r="1022">
          <cell r="B1022" t="str">
            <v>1500-EHG0007</v>
          </cell>
          <cell r="C1022" t="str">
            <v>M46</v>
          </cell>
        </row>
        <row r="1023">
          <cell r="B1023" t="str">
            <v>1500-EJB0015</v>
          </cell>
          <cell r="C1023" t="str">
            <v>M46</v>
          </cell>
        </row>
        <row r="1024">
          <cell r="B1024" t="str">
            <v>1500-EQH0004</v>
          </cell>
          <cell r="C1024" t="str">
            <v>M46</v>
          </cell>
        </row>
        <row r="1025">
          <cell r="B1025" t="str">
            <v>1500-EQH0005</v>
          </cell>
          <cell r="C1025" t="str">
            <v>M46</v>
          </cell>
        </row>
        <row r="1026">
          <cell r="B1026" t="str">
            <v>1500-EQH0006</v>
          </cell>
          <cell r="C1026" t="str">
            <v>M46</v>
          </cell>
        </row>
        <row r="1027">
          <cell r="B1027" t="str">
            <v>1500-EQH0009</v>
          </cell>
          <cell r="C1027" t="str">
            <v>M46</v>
          </cell>
        </row>
        <row r="1028">
          <cell r="B1028" t="str">
            <v>1500-EQH0010</v>
          </cell>
          <cell r="C1028" t="str">
            <v>M46</v>
          </cell>
        </row>
        <row r="1029">
          <cell r="B1029" t="str">
            <v>1500-EQH0019</v>
          </cell>
          <cell r="C1029" t="str">
            <v>M46</v>
          </cell>
        </row>
        <row r="1030">
          <cell r="B1030" t="str">
            <v>1500-EQM0012</v>
          </cell>
          <cell r="C1030" t="str">
            <v>M46</v>
          </cell>
        </row>
        <row r="1031">
          <cell r="B1031" t="str">
            <v>1500-EYY0002</v>
          </cell>
          <cell r="C1031" t="str">
            <v>M46</v>
          </cell>
        </row>
        <row r="1032">
          <cell r="B1032" t="str">
            <v>1500-EYY0003</v>
          </cell>
          <cell r="C1032" t="str">
            <v>M46</v>
          </cell>
        </row>
        <row r="1033">
          <cell r="B1033" t="str">
            <v>1500-EYY0004</v>
          </cell>
          <cell r="C1033" t="str">
            <v>M46</v>
          </cell>
        </row>
        <row r="1034">
          <cell r="B1034" t="str">
            <v>1500-EYY0005</v>
          </cell>
          <cell r="C1034" t="str">
            <v>M46</v>
          </cell>
        </row>
        <row r="1035">
          <cell r="B1035" t="str">
            <v>1500-EYY0006</v>
          </cell>
          <cell r="C1035" t="str">
            <v>M46</v>
          </cell>
        </row>
        <row r="1036">
          <cell r="B1036" t="str">
            <v>1500-M020006</v>
          </cell>
          <cell r="C1036" t="str">
            <v>M46</v>
          </cell>
        </row>
        <row r="1037">
          <cell r="B1037" t="str">
            <v>1500-MYY0002</v>
          </cell>
          <cell r="C1037" t="str">
            <v>M46</v>
          </cell>
        </row>
        <row r="1038">
          <cell r="B1038" t="str">
            <v>1502-MYY0001</v>
          </cell>
          <cell r="C1038" t="str">
            <v>M46</v>
          </cell>
        </row>
        <row r="1039">
          <cell r="B1039" t="str">
            <v>1502-MYY0002</v>
          </cell>
          <cell r="C1039" t="str">
            <v>M46</v>
          </cell>
        </row>
        <row r="1040">
          <cell r="B1040" t="str">
            <v>1502-MYY0003</v>
          </cell>
          <cell r="C1040" t="str">
            <v>M46</v>
          </cell>
        </row>
        <row r="1041">
          <cell r="B1041" t="str">
            <v>1502-MYY0005</v>
          </cell>
          <cell r="C1041" t="str">
            <v>M46</v>
          </cell>
        </row>
        <row r="1042">
          <cell r="B1042" t="str">
            <v>1502-MYY0006</v>
          </cell>
          <cell r="C1042" t="str">
            <v>M46</v>
          </cell>
        </row>
        <row r="1043">
          <cell r="B1043" t="str">
            <v>1502-MYY0007</v>
          </cell>
          <cell r="C1043" t="str">
            <v>M46</v>
          </cell>
        </row>
        <row r="1044">
          <cell r="B1044" t="str">
            <v>1502-MYY0008</v>
          </cell>
          <cell r="C1044" t="str">
            <v>M46</v>
          </cell>
        </row>
        <row r="1045">
          <cell r="B1045" t="str">
            <v>1502-MYY0009</v>
          </cell>
          <cell r="C1045" t="str">
            <v>M46</v>
          </cell>
        </row>
        <row r="1046">
          <cell r="B1046" t="str">
            <v>1502-MYY0010</v>
          </cell>
          <cell r="C1046" t="str">
            <v>M46</v>
          </cell>
        </row>
        <row r="1047">
          <cell r="B1047" t="str">
            <v>1503-1020082</v>
          </cell>
          <cell r="C1047" t="str">
            <v>M46</v>
          </cell>
        </row>
        <row r="1048">
          <cell r="B1048" t="str">
            <v>1503-1020083</v>
          </cell>
          <cell r="C1048" t="str">
            <v>M46</v>
          </cell>
        </row>
        <row r="1049">
          <cell r="B1049" t="str">
            <v>1504-1020143</v>
          </cell>
          <cell r="C1049" t="str">
            <v>M46</v>
          </cell>
        </row>
        <row r="1050">
          <cell r="B1050" t="str">
            <v>1504-1020143-01</v>
          </cell>
          <cell r="C1050" t="str">
            <v>M46</v>
          </cell>
        </row>
        <row r="1051">
          <cell r="B1051" t="str">
            <v>1504-1HQ0001</v>
          </cell>
          <cell r="C1051" t="str">
            <v>M46</v>
          </cell>
        </row>
        <row r="1052">
          <cell r="B1052" t="str">
            <v>1504-1HQ0002</v>
          </cell>
          <cell r="C1052" t="str">
            <v>M46</v>
          </cell>
        </row>
        <row r="1053">
          <cell r="B1053" t="str">
            <v>1504-1HQ0003</v>
          </cell>
          <cell r="C1053" t="str">
            <v>M46</v>
          </cell>
        </row>
        <row r="1054">
          <cell r="B1054" t="str">
            <v>1504-1YY0169</v>
          </cell>
          <cell r="C1054" t="str">
            <v>M46</v>
          </cell>
        </row>
        <row r="1055">
          <cell r="B1055" t="str">
            <v>1504-EJB0001</v>
          </cell>
          <cell r="C1055" t="str">
            <v>M46</v>
          </cell>
        </row>
        <row r="1056">
          <cell r="B1056" t="str">
            <v>1504-MYY0001</v>
          </cell>
          <cell r="C1056" t="str">
            <v>M46</v>
          </cell>
        </row>
        <row r="1057">
          <cell r="B1057" t="str">
            <v>1504-MYY0003</v>
          </cell>
          <cell r="C1057" t="str">
            <v>M46</v>
          </cell>
        </row>
        <row r="1058">
          <cell r="B1058" t="str">
            <v>1505-1YY0026</v>
          </cell>
          <cell r="C1058" t="str">
            <v>M46</v>
          </cell>
        </row>
        <row r="1059">
          <cell r="B1059" t="str">
            <v>1505-EJB0006</v>
          </cell>
          <cell r="C1059" t="str">
            <v>M46</v>
          </cell>
        </row>
        <row r="1060">
          <cell r="B1060" t="str">
            <v>1505-EYY0001</v>
          </cell>
          <cell r="C1060" t="str">
            <v>M46</v>
          </cell>
        </row>
        <row r="1061">
          <cell r="B1061" t="str">
            <v>1505-EYY0002</v>
          </cell>
          <cell r="C1061" t="str">
            <v>M46</v>
          </cell>
        </row>
        <row r="1062">
          <cell r="B1062" t="str">
            <v>1505-EYY0003</v>
          </cell>
          <cell r="C1062" t="str">
            <v>M46</v>
          </cell>
        </row>
        <row r="1063">
          <cell r="B1063" t="str">
            <v>1505-EYY0004</v>
          </cell>
          <cell r="C1063" t="str">
            <v>M46</v>
          </cell>
        </row>
        <row r="1064">
          <cell r="B1064" t="str">
            <v>1505-EYY0005</v>
          </cell>
          <cell r="C1064" t="str">
            <v>M46</v>
          </cell>
        </row>
        <row r="1065">
          <cell r="B1065" t="str">
            <v>1514-1030006</v>
          </cell>
          <cell r="C1065" t="str">
            <v>M46</v>
          </cell>
        </row>
        <row r="1066">
          <cell r="B1066" t="str">
            <v>1514-MYY0001</v>
          </cell>
          <cell r="C1066" t="str">
            <v>M46</v>
          </cell>
        </row>
        <row r="1067">
          <cell r="B1067" t="str">
            <v>1515-EYY0001</v>
          </cell>
          <cell r="C1067" t="str">
            <v>M46</v>
          </cell>
        </row>
        <row r="1068">
          <cell r="B1068" t="str">
            <v>1515-MYY0001</v>
          </cell>
          <cell r="C1068" t="str">
            <v>M46</v>
          </cell>
        </row>
        <row r="1069">
          <cell r="B1069" t="str">
            <v>1515-MYY0002</v>
          </cell>
          <cell r="C1069" t="str">
            <v>M46</v>
          </cell>
        </row>
        <row r="1070">
          <cell r="B1070" t="str">
            <v>1531-MYY0008</v>
          </cell>
          <cell r="C1070" t="str">
            <v>M46</v>
          </cell>
        </row>
        <row r="1071">
          <cell r="B1071" t="str">
            <v>1532-EHG0004</v>
          </cell>
          <cell r="C1071" t="str">
            <v>M46</v>
          </cell>
        </row>
        <row r="1072">
          <cell r="B1072" t="str">
            <v>1532-EHG0006</v>
          </cell>
          <cell r="C1072" t="str">
            <v>M46</v>
          </cell>
        </row>
        <row r="1073">
          <cell r="B1073" t="str">
            <v>1532-MYY0001</v>
          </cell>
          <cell r="C1073" t="str">
            <v>M46</v>
          </cell>
        </row>
        <row r="1074">
          <cell r="B1074" t="str">
            <v>1532-MYY0002</v>
          </cell>
          <cell r="C1074" t="str">
            <v>M46</v>
          </cell>
        </row>
        <row r="1075">
          <cell r="B1075" t="str">
            <v>1532-MYY0003</v>
          </cell>
          <cell r="C1075" t="str">
            <v>M46</v>
          </cell>
        </row>
        <row r="1076">
          <cell r="B1076" t="str">
            <v>1532-MYY0004</v>
          </cell>
          <cell r="C1076" t="str">
            <v>M46</v>
          </cell>
        </row>
        <row r="1077">
          <cell r="B1077" t="str">
            <v>1532-MYY0005</v>
          </cell>
          <cell r="C1077" t="str">
            <v>M46</v>
          </cell>
        </row>
        <row r="1078">
          <cell r="B1078" t="str">
            <v>1532-MYY0006</v>
          </cell>
          <cell r="C1078" t="str">
            <v>M46</v>
          </cell>
        </row>
        <row r="1079">
          <cell r="B1079" t="str">
            <v>1532-MYY0007</v>
          </cell>
          <cell r="C1079" t="str">
            <v>M46</v>
          </cell>
        </row>
        <row r="1080">
          <cell r="B1080" t="str">
            <v>1533-1020007</v>
          </cell>
          <cell r="C1080" t="str">
            <v>M46</v>
          </cell>
        </row>
        <row r="1081">
          <cell r="B1081" t="str">
            <v>1533-10P0056</v>
          </cell>
          <cell r="C1081" t="str">
            <v>M46</v>
          </cell>
        </row>
        <row r="1082">
          <cell r="B1082" t="str">
            <v>1533-1YY0123</v>
          </cell>
          <cell r="C1082" t="str">
            <v>M46</v>
          </cell>
        </row>
        <row r="1083">
          <cell r="B1083" t="str">
            <v>1533-EHG0002</v>
          </cell>
          <cell r="C1083" t="str">
            <v>M46</v>
          </cell>
        </row>
        <row r="1084">
          <cell r="B1084" t="str">
            <v>1533-MYY0001</v>
          </cell>
          <cell r="C1084" t="str">
            <v>M46</v>
          </cell>
        </row>
        <row r="1085">
          <cell r="B1085" t="str">
            <v>1533-MYY0002</v>
          </cell>
          <cell r="C1085" t="str">
            <v>M46</v>
          </cell>
        </row>
        <row r="1086">
          <cell r="B1086" t="str">
            <v>1533-MYY0003</v>
          </cell>
          <cell r="C1086" t="str">
            <v>M46</v>
          </cell>
        </row>
        <row r="1087">
          <cell r="B1087" t="str">
            <v>1533-MYY0004</v>
          </cell>
          <cell r="C1087" t="str">
            <v>M46</v>
          </cell>
        </row>
        <row r="1088">
          <cell r="B1088" t="str">
            <v>1538-MYY0001</v>
          </cell>
          <cell r="C1088" t="str">
            <v>M46</v>
          </cell>
        </row>
        <row r="1089">
          <cell r="B1089" t="str">
            <v>1539-EJA0001</v>
          </cell>
          <cell r="C1089" t="str">
            <v>M46</v>
          </cell>
        </row>
        <row r="1090">
          <cell r="B1090" t="str">
            <v>1543-1030001</v>
          </cell>
          <cell r="C1090" t="str">
            <v>M46</v>
          </cell>
        </row>
        <row r="1091">
          <cell r="B1091" t="str">
            <v>1543-EJB0001</v>
          </cell>
          <cell r="C1091" t="str">
            <v>M46</v>
          </cell>
        </row>
        <row r="1092">
          <cell r="B1092" t="str">
            <v>1543-EYY0001</v>
          </cell>
          <cell r="C1092" t="str">
            <v>M46</v>
          </cell>
        </row>
        <row r="1093">
          <cell r="B1093" t="str">
            <v>1543-MYY0001</v>
          </cell>
          <cell r="C1093" t="str">
            <v>M46</v>
          </cell>
        </row>
        <row r="1094">
          <cell r="B1094" t="str">
            <v>1543-MYY0002</v>
          </cell>
          <cell r="C1094" t="str">
            <v>M46</v>
          </cell>
        </row>
        <row r="1095">
          <cell r="B1095" t="str">
            <v>1543-MYY0003</v>
          </cell>
          <cell r="C1095" t="str">
            <v>M46</v>
          </cell>
        </row>
        <row r="1096">
          <cell r="B1096" t="str">
            <v>1544-EHG0001</v>
          </cell>
          <cell r="C1096" t="str">
            <v>M46</v>
          </cell>
        </row>
        <row r="1097">
          <cell r="B1097" t="str">
            <v>1560-EYY0052</v>
          </cell>
          <cell r="C1097" t="str">
            <v>M46</v>
          </cell>
        </row>
        <row r="1098">
          <cell r="B1098" t="str">
            <v>1560-MYY0001</v>
          </cell>
          <cell r="C1098" t="str">
            <v>M46</v>
          </cell>
        </row>
        <row r="1099">
          <cell r="B1099" t="str">
            <v>1572-1YY0062</v>
          </cell>
          <cell r="C1099" t="str">
            <v>M46</v>
          </cell>
        </row>
        <row r="1100">
          <cell r="B1100" t="str">
            <v>1572-MSD0001</v>
          </cell>
          <cell r="C1100" t="str">
            <v>M46</v>
          </cell>
        </row>
        <row r="1101">
          <cell r="B1101" t="str">
            <v>1572-MYY0003</v>
          </cell>
          <cell r="C1101" t="str">
            <v>M46</v>
          </cell>
        </row>
        <row r="1102">
          <cell r="B1102" t="str">
            <v>1572-MYY0004</v>
          </cell>
          <cell r="C1102" t="str">
            <v>M46</v>
          </cell>
        </row>
        <row r="1103">
          <cell r="B1103" t="str">
            <v>1573-EHG0003</v>
          </cell>
          <cell r="C1103" t="str">
            <v>M46</v>
          </cell>
        </row>
        <row r="1104">
          <cell r="B1104" t="str">
            <v>1573-MYY0001</v>
          </cell>
          <cell r="C1104" t="str">
            <v>M46</v>
          </cell>
        </row>
        <row r="1105">
          <cell r="B1105" t="str">
            <v>1573-MYY0002</v>
          </cell>
          <cell r="C1105" t="str">
            <v>M46</v>
          </cell>
        </row>
        <row r="1106">
          <cell r="B1106" t="str">
            <v>1573-MYY0003</v>
          </cell>
          <cell r="C1106" t="str">
            <v>M46</v>
          </cell>
        </row>
        <row r="1107">
          <cell r="B1107" t="str">
            <v>1573-MYY0004</v>
          </cell>
          <cell r="C1107" t="str">
            <v>M46</v>
          </cell>
        </row>
        <row r="1108">
          <cell r="B1108" t="str">
            <v>1621-8GA0005</v>
          </cell>
          <cell r="C1108" t="str">
            <v>M46</v>
          </cell>
        </row>
        <row r="1109">
          <cell r="B1109" t="str">
            <v>1621-MYY0003</v>
          </cell>
          <cell r="C1109" t="str">
            <v>M46</v>
          </cell>
        </row>
        <row r="1110">
          <cell r="B1110" t="str">
            <v>1621-MYY0004</v>
          </cell>
          <cell r="C1110" t="str">
            <v>M46</v>
          </cell>
        </row>
        <row r="1111">
          <cell r="B1111" t="str">
            <v>1621-MYY0007</v>
          </cell>
          <cell r="C1111" t="str">
            <v>M46</v>
          </cell>
        </row>
        <row r="1112">
          <cell r="B1112" t="str">
            <v>1621-MYY0009</v>
          </cell>
          <cell r="C1112" t="str">
            <v>M46</v>
          </cell>
        </row>
        <row r="1113">
          <cell r="B1113" t="str">
            <v>1621-MYY0011</v>
          </cell>
          <cell r="C1113" t="str">
            <v>M46</v>
          </cell>
        </row>
        <row r="1114">
          <cell r="B1114" t="str">
            <v>1621-MYY0012</v>
          </cell>
          <cell r="C1114" t="str">
            <v>M46</v>
          </cell>
        </row>
        <row r="1115">
          <cell r="B1115" t="str">
            <v>1621-MYY0013</v>
          </cell>
          <cell r="C1115" t="str">
            <v>M46</v>
          </cell>
        </row>
        <row r="1116">
          <cell r="B1116" t="str">
            <v>1621-MYY0014</v>
          </cell>
          <cell r="C1116" t="str">
            <v>M46</v>
          </cell>
        </row>
        <row r="1117">
          <cell r="B1117" t="str">
            <v>1621-MYY0015</v>
          </cell>
          <cell r="C1117" t="str">
            <v>M46</v>
          </cell>
        </row>
        <row r="1118">
          <cell r="B1118" t="str">
            <v>1621-MYY0016</v>
          </cell>
          <cell r="C1118" t="str">
            <v>M46</v>
          </cell>
        </row>
        <row r="1119">
          <cell r="B1119" t="str">
            <v>1621-MYY0017</v>
          </cell>
          <cell r="C1119" t="str">
            <v>M46</v>
          </cell>
        </row>
        <row r="1120">
          <cell r="B1120" t="str">
            <v>1621-MYY0018</v>
          </cell>
          <cell r="C1120" t="str">
            <v>M46</v>
          </cell>
        </row>
        <row r="1121">
          <cell r="B1121" t="str">
            <v>1621-MYY0019</v>
          </cell>
          <cell r="C1121" t="str">
            <v>M46</v>
          </cell>
        </row>
        <row r="1122">
          <cell r="B1122" t="str">
            <v>1621-MYY0020</v>
          </cell>
          <cell r="C1122" t="str">
            <v>M46</v>
          </cell>
        </row>
        <row r="1123">
          <cell r="B1123" t="str">
            <v>1621-MYY0021</v>
          </cell>
          <cell r="C1123" t="str">
            <v>M46</v>
          </cell>
        </row>
        <row r="1124">
          <cell r="B1124" t="str">
            <v>1621-MYY0022</v>
          </cell>
          <cell r="C1124" t="str">
            <v>M46</v>
          </cell>
        </row>
        <row r="1125">
          <cell r="B1125" t="str">
            <v>1621-MYY0023</v>
          </cell>
          <cell r="C1125" t="str">
            <v>M46</v>
          </cell>
        </row>
        <row r="1126">
          <cell r="B1126" t="str">
            <v>1621-MYY0024EN/MX</v>
          </cell>
          <cell r="C1126" t="str">
            <v>M46</v>
          </cell>
        </row>
        <row r="1127">
          <cell r="B1127" t="str">
            <v>1621-MYY0025EN/MX</v>
          </cell>
          <cell r="C1127" t="str">
            <v>M46</v>
          </cell>
        </row>
        <row r="1128">
          <cell r="B1128" t="str">
            <v>1621-MYY0026EN/MX</v>
          </cell>
          <cell r="C1128" t="str">
            <v>M46</v>
          </cell>
        </row>
        <row r="1129">
          <cell r="B1129" t="str">
            <v>1621-MYY0027</v>
          </cell>
          <cell r="C1129" t="str">
            <v>M46</v>
          </cell>
        </row>
        <row r="1130">
          <cell r="B1130" t="str">
            <v>1621-MYY0028</v>
          </cell>
          <cell r="C1130" t="str">
            <v>M46</v>
          </cell>
        </row>
        <row r="1131">
          <cell r="B1131" t="str">
            <v>1621-MYY0029</v>
          </cell>
          <cell r="C1131" t="str">
            <v>M46</v>
          </cell>
        </row>
        <row r="1132">
          <cell r="B1132" t="str">
            <v>1624-1010005EP</v>
          </cell>
          <cell r="C1132" t="str">
            <v>M46</v>
          </cell>
        </row>
        <row r="1133">
          <cell r="B1133" t="str">
            <v>1651-EGN0004LN</v>
          </cell>
          <cell r="C1133" t="str">
            <v>M46</v>
          </cell>
        </row>
        <row r="1134">
          <cell r="B1134" t="str">
            <v>1651-EKB0008EN</v>
          </cell>
          <cell r="C1134" t="str">
            <v>M46</v>
          </cell>
        </row>
        <row r="1135">
          <cell r="B1135" t="str">
            <v>1651-EKB0013EN</v>
          </cell>
          <cell r="C1135" t="str">
            <v>M46</v>
          </cell>
        </row>
        <row r="1136">
          <cell r="B1136" t="str">
            <v>1651-EQH0019EN</v>
          </cell>
          <cell r="C1136" t="str">
            <v>M46</v>
          </cell>
        </row>
        <row r="1137">
          <cell r="B1137" t="str">
            <v>1651-EQH0020EN</v>
          </cell>
          <cell r="C1137" t="str">
            <v>M46</v>
          </cell>
        </row>
        <row r="1138">
          <cell r="B1138" t="str">
            <v>1651-EQH0021EN</v>
          </cell>
          <cell r="C1138" t="str">
            <v>M46</v>
          </cell>
        </row>
        <row r="1139">
          <cell r="B1139" t="str">
            <v>1651-EQH0023EN</v>
          </cell>
          <cell r="C1139" t="str">
            <v>M46</v>
          </cell>
        </row>
        <row r="1140">
          <cell r="B1140" t="str">
            <v>1651-EQH0024EN</v>
          </cell>
          <cell r="C1140" t="str">
            <v>M46</v>
          </cell>
        </row>
        <row r="1141">
          <cell r="B1141" t="str">
            <v>1651-EQH0026EN</v>
          </cell>
          <cell r="C1141" t="str">
            <v>M46</v>
          </cell>
        </row>
        <row r="1142">
          <cell r="B1142" t="str">
            <v>1651-EQH0028EN</v>
          </cell>
          <cell r="C1142" t="str">
            <v>M46</v>
          </cell>
        </row>
        <row r="1143">
          <cell r="B1143" t="str">
            <v>1651-EQH0029EN</v>
          </cell>
          <cell r="C1143" t="str">
            <v>M46</v>
          </cell>
        </row>
        <row r="1144">
          <cell r="B1144" t="str">
            <v>1651-EQH0031EN</v>
          </cell>
          <cell r="C1144" t="str">
            <v>M46</v>
          </cell>
        </row>
        <row r="1145">
          <cell r="B1145" t="str">
            <v>1651-EQH0039EN</v>
          </cell>
          <cell r="C1145" t="str">
            <v>M46</v>
          </cell>
        </row>
        <row r="1146">
          <cell r="B1146" t="str">
            <v>1651-EQH0040EN</v>
          </cell>
          <cell r="C1146" t="str">
            <v>M46</v>
          </cell>
        </row>
        <row r="1147">
          <cell r="B1147" t="str">
            <v>1651-EQH0041EN</v>
          </cell>
          <cell r="C1147" t="str">
            <v>M46</v>
          </cell>
        </row>
        <row r="1148">
          <cell r="B1148" t="str">
            <v>1651-EQH0054EN</v>
          </cell>
          <cell r="C1148" t="str">
            <v>M46</v>
          </cell>
        </row>
        <row r="1149">
          <cell r="B1149" t="str">
            <v>1651-EQH0056EN</v>
          </cell>
          <cell r="C1149" t="str">
            <v>M46</v>
          </cell>
        </row>
        <row r="1150">
          <cell r="B1150" t="str">
            <v>1651-EQH0056RN</v>
          </cell>
          <cell r="C1150" t="str">
            <v>M46</v>
          </cell>
        </row>
        <row r="1151">
          <cell r="B1151" t="str">
            <v>1651-EQH0058EN</v>
          </cell>
          <cell r="C1151" t="str">
            <v>M46</v>
          </cell>
        </row>
        <row r="1152">
          <cell r="B1152" t="str">
            <v>1651-EQH0059EN</v>
          </cell>
          <cell r="C1152" t="str">
            <v>M46</v>
          </cell>
        </row>
        <row r="1153">
          <cell r="B1153" t="str">
            <v>1651-EQH0060EN</v>
          </cell>
          <cell r="C1153" t="str">
            <v>M46</v>
          </cell>
        </row>
        <row r="1154">
          <cell r="B1154" t="str">
            <v>1651-EQH0065EN</v>
          </cell>
          <cell r="C1154" t="str">
            <v>M46</v>
          </cell>
        </row>
        <row r="1155">
          <cell r="B1155" t="str">
            <v>1651-EQH0066EN</v>
          </cell>
          <cell r="C1155" t="str">
            <v>M46</v>
          </cell>
        </row>
        <row r="1156">
          <cell r="B1156" t="str">
            <v>1651-EQH0067EN</v>
          </cell>
          <cell r="C1156" t="str">
            <v>M46</v>
          </cell>
        </row>
        <row r="1157">
          <cell r="B1157" t="str">
            <v>1651-EQH0069EN</v>
          </cell>
          <cell r="C1157" t="str">
            <v>M46</v>
          </cell>
        </row>
        <row r="1158">
          <cell r="B1158" t="str">
            <v>1651-EQM0043EN</v>
          </cell>
          <cell r="C1158" t="str">
            <v>M46</v>
          </cell>
        </row>
        <row r="1159">
          <cell r="B1159" t="str">
            <v>1651-EQM0133EN</v>
          </cell>
          <cell r="C1159" t="str">
            <v>M46</v>
          </cell>
        </row>
        <row r="1160">
          <cell r="B1160" t="str">
            <v>1651-EQM0137EN</v>
          </cell>
          <cell r="C1160" t="str">
            <v>M46</v>
          </cell>
        </row>
        <row r="1161">
          <cell r="B1161" t="str">
            <v>1651-EQM0164EN</v>
          </cell>
          <cell r="C1161" t="str">
            <v>M46</v>
          </cell>
        </row>
        <row r="1162">
          <cell r="B1162" t="str">
            <v>1651-EQM0165EN</v>
          </cell>
          <cell r="C1162" t="str">
            <v>M46</v>
          </cell>
        </row>
        <row r="1163">
          <cell r="B1163" t="str">
            <v>1651-EQM0166EN</v>
          </cell>
          <cell r="C1163" t="str">
            <v>M46</v>
          </cell>
        </row>
        <row r="1164">
          <cell r="B1164" t="str">
            <v>1651-EQM0167EN</v>
          </cell>
          <cell r="C1164" t="str">
            <v>M46</v>
          </cell>
        </row>
        <row r="1165">
          <cell r="B1165" t="str">
            <v>1651-EQN0001RN</v>
          </cell>
          <cell r="C1165" t="str">
            <v>M46</v>
          </cell>
        </row>
        <row r="1166">
          <cell r="B1166" t="str">
            <v>1651-MYY0002EN</v>
          </cell>
          <cell r="C1166" t="str">
            <v>M46</v>
          </cell>
        </row>
        <row r="1167">
          <cell r="B1167" t="str">
            <v>1651-MYY0003EN</v>
          </cell>
          <cell r="C1167" t="str">
            <v>M46</v>
          </cell>
        </row>
        <row r="1168">
          <cell r="B1168" t="str">
            <v>1651-MYY0004EN</v>
          </cell>
          <cell r="C1168" t="str">
            <v>M46</v>
          </cell>
        </row>
        <row r="1169">
          <cell r="B1169" t="str">
            <v>1651-MYY0005EN</v>
          </cell>
          <cell r="C1169" t="str">
            <v>M46</v>
          </cell>
        </row>
        <row r="1170">
          <cell r="B1170" t="str">
            <v>1651-MYY0006EN</v>
          </cell>
          <cell r="C1170" t="str">
            <v>M46</v>
          </cell>
        </row>
        <row r="1171">
          <cell r="B1171" t="str">
            <v>1651-MYY0007EN</v>
          </cell>
          <cell r="C1171" t="str">
            <v>M46</v>
          </cell>
        </row>
        <row r="1172">
          <cell r="B1172" t="str">
            <v>1651-MYY0008EN</v>
          </cell>
          <cell r="C1172" t="str">
            <v>M46</v>
          </cell>
        </row>
        <row r="1173">
          <cell r="B1173" t="str">
            <v>1651-MYY0009EN</v>
          </cell>
          <cell r="C1173" t="str">
            <v>M46</v>
          </cell>
        </row>
        <row r="1174">
          <cell r="B1174" t="str">
            <v>1651-MYY0010EN</v>
          </cell>
          <cell r="C1174" t="str">
            <v>M46</v>
          </cell>
        </row>
        <row r="1175">
          <cell r="B1175" t="str">
            <v>1651-MYY0011EN</v>
          </cell>
          <cell r="C1175" t="str">
            <v>M46</v>
          </cell>
        </row>
        <row r="1176">
          <cell r="B1176" t="str">
            <v>1651-MYY0012EN</v>
          </cell>
          <cell r="C1176" t="str">
            <v>M46</v>
          </cell>
        </row>
        <row r="1177">
          <cell r="B1177" t="str">
            <v>1651-MYY0013EN</v>
          </cell>
          <cell r="C1177" t="str">
            <v>M46</v>
          </cell>
        </row>
        <row r="1178">
          <cell r="B1178" t="str">
            <v>1651-MYY0014EN</v>
          </cell>
          <cell r="C1178" t="str">
            <v>M46</v>
          </cell>
        </row>
        <row r="1179">
          <cell r="B1179" t="str">
            <v>1651-MYY0017EN</v>
          </cell>
          <cell r="C1179" t="str">
            <v>M46</v>
          </cell>
        </row>
        <row r="1180">
          <cell r="B1180" t="str">
            <v>1651-MYY0018EN</v>
          </cell>
          <cell r="C1180" t="str">
            <v>M46</v>
          </cell>
        </row>
        <row r="1181">
          <cell r="B1181" t="str">
            <v>1651-MYY0021EN</v>
          </cell>
          <cell r="C1181" t="str">
            <v>M46</v>
          </cell>
        </row>
        <row r="1182">
          <cell r="B1182" t="str">
            <v>1651-MYY0022EN</v>
          </cell>
          <cell r="C1182" t="str">
            <v>M46</v>
          </cell>
        </row>
        <row r="1183">
          <cell r="B1183" t="str">
            <v>1651-MYY0026EN</v>
          </cell>
          <cell r="C1183" t="str">
            <v>M46</v>
          </cell>
        </row>
        <row r="1184">
          <cell r="B1184" t="str">
            <v>1651-MYY0027EN</v>
          </cell>
          <cell r="C1184" t="str">
            <v>M46</v>
          </cell>
        </row>
        <row r="1185">
          <cell r="B1185" t="str">
            <v>1651-MYY0028EN</v>
          </cell>
          <cell r="C1185" t="str">
            <v>M46</v>
          </cell>
        </row>
        <row r="1186">
          <cell r="B1186" t="str">
            <v>1651-MYY0030EN</v>
          </cell>
          <cell r="C1186" t="str">
            <v>M46</v>
          </cell>
        </row>
        <row r="1187">
          <cell r="B1187" t="str">
            <v>1651-MYY0031EN</v>
          </cell>
          <cell r="C1187" t="str">
            <v>M46</v>
          </cell>
        </row>
        <row r="1188">
          <cell r="B1188" t="str">
            <v>1651-MYY0033EN</v>
          </cell>
          <cell r="C1188" t="str">
            <v>M46</v>
          </cell>
        </row>
        <row r="1189">
          <cell r="B1189" t="str">
            <v>1651-MYY0034EN</v>
          </cell>
          <cell r="C1189" t="str">
            <v>M46</v>
          </cell>
        </row>
        <row r="1190">
          <cell r="B1190" t="str">
            <v>1651-MYY0035EN</v>
          </cell>
          <cell r="C1190" t="str">
            <v>M46</v>
          </cell>
        </row>
        <row r="1191">
          <cell r="B1191" t="str">
            <v>1651-MYY0036EN</v>
          </cell>
          <cell r="C1191" t="str">
            <v>M46</v>
          </cell>
        </row>
        <row r="1192">
          <cell r="B1192" t="str">
            <v>1651-MYY0037EN</v>
          </cell>
          <cell r="C1192" t="str">
            <v>M46</v>
          </cell>
        </row>
        <row r="1193">
          <cell r="B1193" t="str">
            <v>1651-MYY0038EN</v>
          </cell>
          <cell r="C1193" t="str">
            <v>M46</v>
          </cell>
        </row>
        <row r="1194">
          <cell r="B1194" t="str">
            <v>1651-MYY0039EN</v>
          </cell>
          <cell r="C1194" t="str">
            <v>M46</v>
          </cell>
        </row>
        <row r="1195">
          <cell r="B1195" t="str">
            <v>1651-MYY0040EN</v>
          </cell>
          <cell r="C1195" t="str">
            <v>M46</v>
          </cell>
        </row>
        <row r="1196">
          <cell r="B1196" t="str">
            <v>1651-MYY0041EN</v>
          </cell>
          <cell r="C1196" t="str">
            <v>M46</v>
          </cell>
        </row>
        <row r="1197">
          <cell r="B1197" t="str">
            <v>1651-MYY0042EN</v>
          </cell>
          <cell r="C1197" t="str">
            <v>M46</v>
          </cell>
        </row>
        <row r="1198">
          <cell r="B1198" t="str">
            <v>1651-MYY0044EN</v>
          </cell>
          <cell r="C1198" t="str">
            <v>M46</v>
          </cell>
        </row>
        <row r="1199">
          <cell r="B1199" t="str">
            <v>1651-MYY0045EN</v>
          </cell>
          <cell r="C1199" t="str">
            <v>M46</v>
          </cell>
        </row>
        <row r="1200">
          <cell r="B1200" t="str">
            <v>1651-MYY0047AN</v>
          </cell>
          <cell r="C1200" t="str">
            <v>M46</v>
          </cell>
        </row>
        <row r="1201">
          <cell r="B1201" t="str">
            <v>1651-MYY0047EN</v>
          </cell>
          <cell r="C1201" t="str">
            <v>M46</v>
          </cell>
        </row>
        <row r="1202">
          <cell r="B1202" t="str">
            <v>1651-MYY0049EN</v>
          </cell>
          <cell r="C1202" t="str">
            <v>M46</v>
          </cell>
        </row>
        <row r="1203">
          <cell r="B1203" t="str">
            <v>1651-MYY0050EN</v>
          </cell>
          <cell r="C1203" t="str">
            <v>M46</v>
          </cell>
        </row>
        <row r="1204">
          <cell r="B1204" t="str">
            <v>1651-MYY0053EN</v>
          </cell>
          <cell r="C1204" t="str">
            <v>M46</v>
          </cell>
        </row>
        <row r="1205">
          <cell r="B1205" t="str">
            <v>1651-MYY0054EN</v>
          </cell>
          <cell r="C1205" t="str">
            <v>M46</v>
          </cell>
        </row>
        <row r="1206">
          <cell r="B1206" t="str">
            <v>1651-MYY0055EN</v>
          </cell>
          <cell r="C1206" t="str">
            <v>M46</v>
          </cell>
        </row>
        <row r="1207">
          <cell r="B1207" t="str">
            <v>1651-MYY0056EN</v>
          </cell>
          <cell r="C1207" t="str">
            <v>M46</v>
          </cell>
        </row>
        <row r="1208">
          <cell r="B1208" t="str">
            <v>1651-MYY0057EN</v>
          </cell>
          <cell r="C1208" t="str">
            <v>M46</v>
          </cell>
        </row>
        <row r="1209">
          <cell r="B1209" t="str">
            <v>1651-MYY0058EN</v>
          </cell>
          <cell r="C1209" t="str">
            <v>M46</v>
          </cell>
        </row>
        <row r="1210">
          <cell r="B1210" t="str">
            <v>1651-MYY0060EN</v>
          </cell>
          <cell r="C1210" t="str">
            <v>M46</v>
          </cell>
        </row>
        <row r="1211">
          <cell r="B1211" t="str">
            <v>1651-MYY0061EN</v>
          </cell>
          <cell r="C1211" t="str">
            <v>M46</v>
          </cell>
        </row>
        <row r="1212">
          <cell r="B1212" t="str">
            <v>1651-MYY0062EN</v>
          </cell>
          <cell r="C1212" t="str">
            <v>M46</v>
          </cell>
        </row>
        <row r="1213">
          <cell r="B1213" t="str">
            <v>1651-MYY0064EN</v>
          </cell>
          <cell r="C1213" t="str">
            <v>M46</v>
          </cell>
        </row>
        <row r="1214">
          <cell r="B1214" t="str">
            <v>1651-MYY0065EN</v>
          </cell>
          <cell r="C1214" t="str">
            <v>M46</v>
          </cell>
        </row>
        <row r="1215">
          <cell r="B1215" t="str">
            <v>1651-MYY0066EN</v>
          </cell>
          <cell r="C1215" t="str">
            <v>M46</v>
          </cell>
        </row>
        <row r="1216">
          <cell r="B1216" t="str">
            <v>1651-MYY0067EN</v>
          </cell>
          <cell r="C1216" t="str">
            <v>M46</v>
          </cell>
        </row>
        <row r="1217">
          <cell r="B1217" t="str">
            <v>1651-MYY0069EN</v>
          </cell>
          <cell r="C1217" t="str">
            <v>M46</v>
          </cell>
        </row>
        <row r="1218">
          <cell r="B1218" t="str">
            <v>1651-MYY0073EN</v>
          </cell>
          <cell r="C1218" t="str">
            <v>M46</v>
          </cell>
        </row>
        <row r="1219">
          <cell r="B1219" t="str">
            <v>1651-MYY0086EN</v>
          </cell>
          <cell r="C1219" t="str">
            <v>M46</v>
          </cell>
        </row>
        <row r="1220">
          <cell r="B1220" t="str">
            <v>1663-EGJ0001-MTEN</v>
          </cell>
          <cell r="C1220" t="str">
            <v>M46</v>
          </cell>
        </row>
        <row r="1221">
          <cell r="B1221" t="str">
            <v>1663-EGK0003-MTEN</v>
          </cell>
          <cell r="C1221" t="str">
            <v>M46</v>
          </cell>
        </row>
        <row r="1222">
          <cell r="B1222" t="str">
            <v>1663-EGP0004-MTEN</v>
          </cell>
          <cell r="C1222" t="str">
            <v>M46</v>
          </cell>
        </row>
        <row r="1223">
          <cell r="B1223" t="str">
            <v>1663-EGP0005-MTEN</v>
          </cell>
          <cell r="C1223" t="str">
            <v>M46</v>
          </cell>
        </row>
        <row r="1224">
          <cell r="B1224" t="str">
            <v>1722-EJB0019</v>
          </cell>
          <cell r="C1224" t="str">
            <v>M46</v>
          </cell>
        </row>
        <row r="1225">
          <cell r="B1225" t="str">
            <v>1722-EJB0026</v>
          </cell>
          <cell r="C1225" t="str">
            <v>M46</v>
          </cell>
        </row>
        <row r="1226">
          <cell r="B1226" t="str">
            <v>1722-EJB0027</v>
          </cell>
          <cell r="C1226" t="str">
            <v>M46</v>
          </cell>
        </row>
        <row r="1227">
          <cell r="B1227" t="str">
            <v>1722-EJB0028RN</v>
          </cell>
          <cell r="C1227" t="str">
            <v>M46</v>
          </cell>
        </row>
        <row r="1228">
          <cell r="B1228" t="str">
            <v>1722-EJB0032</v>
          </cell>
          <cell r="C1228" t="str">
            <v>M46</v>
          </cell>
        </row>
        <row r="1229">
          <cell r="B1229" t="str">
            <v>1722-EJB0033E1</v>
          </cell>
          <cell r="C1229" t="str">
            <v>M46</v>
          </cell>
        </row>
        <row r="1230">
          <cell r="B1230" t="str">
            <v>1722-EJB0033EN</v>
          </cell>
          <cell r="C1230" t="str">
            <v>M46</v>
          </cell>
        </row>
        <row r="1231">
          <cell r="B1231" t="str">
            <v>1722-EJB0044E1</v>
          </cell>
          <cell r="C1231" t="str">
            <v>M46</v>
          </cell>
        </row>
        <row r="1232">
          <cell r="B1232" t="str">
            <v>1722-EJB0044E2</v>
          </cell>
          <cell r="C1232" t="str">
            <v>M46</v>
          </cell>
        </row>
        <row r="1233">
          <cell r="B1233" t="str">
            <v>1722-EJB0044EN</v>
          </cell>
          <cell r="C1233" t="str">
            <v>M46</v>
          </cell>
        </row>
        <row r="1234">
          <cell r="B1234" t="str">
            <v>1722-EJB0045E1</v>
          </cell>
          <cell r="C1234" t="str">
            <v>M46</v>
          </cell>
        </row>
        <row r="1235">
          <cell r="B1235" t="str">
            <v>1722-EJB0045E2</v>
          </cell>
          <cell r="C1235" t="str">
            <v>M46</v>
          </cell>
        </row>
        <row r="1236">
          <cell r="B1236" t="str">
            <v>1722-EJB0045E3</v>
          </cell>
          <cell r="C1236" t="str">
            <v>M46</v>
          </cell>
        </row>
        <row r="1237">
          <cell r="B1237" t="str">
            <v>1722-EJB0045EN</v>
          </cell>
          <cell r="C1237" t="str">
            <v>M46</v>
          </cell>
        </row>
        <row r="1238">
          <cell r="B1238" t="str">
            <v>1722-EJB0046E1</v>
          </cell>
          <cell r="C1238" t="str">
            <v>M46</v>
          </cell>
        </row>
        <row r="1239">
          <cell r="B1239" t="str">
            <v>1722-EJB0046E2</v>
          </cell>
          <cell r="C1239" t="str">
            <v>M46</v>
          </cell>
        </row>
        <row r="1240">
          <cell r="B1240" t="str">
            <v>1722-EJB0046EN</v>
          </cell>
          <cell r="C1240" t="str">
            <v>M46</v>
          </cell>
        </row>
        <row r="1241">
          <cell r="B1241" t="str">
            <v>1722-EJB0047E1</v>
          </cell>
          <cell r="C1241" t="str">
            <v>M46</v>
          </cell>
        </row>
        <row r="1242">
          <cell r="B1242" t="str">
            <v>1722-EJB0047EN</v>
          </cell>
          <cell r="C1242" t="str">
            <v>M46</v>
          </cell>
        </row>
        <row r="1243">
          <cell r="B1243" t="str">
            <v>1722-EJB0048</v>
          </cell>
          <cell r="C1243" t="str">
            <v>M46</v>
          </cell>
        </row>
        <row r="1244">
          <cell r="B1244" t="str">
            <v>1998-MYY0001</v>
          </cell>
          <cell r="C1244" t="str">
            <v>M46</v>
          </cell>
        </row>
        <row r="1245">
          <cell r="B1245" t="str">
            <v>1998-MYY0001/MX</v>
          </cell>
          <cell r="C1245" t="str">
            <v>M46</v>
          </cell>
        </row>
        <row r="1246">
          <cell r="B1246" t="str">
            <v>1998-MYY0002</v>
          </cell>
          <cell r="C1246" t="str">
            <v>M46</v>
          </cell>
        </row>
        <row r="1247">
          <cell r="B1247" t="str">
            <v>1998-MYY0002/MX</v>
          </cell>
          <cell r="C1247" t="str">
            <v>M46</v>
          </cell>
        </row>
        <row r="1248">
          <cell r="B1248" t="str">
            <v>1998-MYY0003</v>
          </cell>
          <cell r="C1248" t="str">
            <v>M46</v>
          </cell>
        </row>
        <row r="1249">
          <cell r="B1249" t="str">
            <v>1998-MYY0003/MX</v>
          </cell>
          <cell r="C1249" t="str">
            <v>M46</v>
          </cell>
        </row>
        <row r="1250">
          <cell r="B1250" t="str">
            <v>1998-MYY0004</v>
          </cell>
          <cell r="C1250" t="str">
            <v>M46</v>
          </cell>
        </row>
        <row r="1251">
          <cell r="B1251" t="str">
            <v>1998-MYY0004/MX</v>
          </cell>
          <cell r="C1251" t="str">
            <v>M46</v>
          </cell>
        </row>
        <row r="1252">
          <cell r="B1252" t="str">
            <v>1998-MYY0005</v>
          </cell>
          <cell r="C1252" t="str">
            <v>M46</v>
          </cell>
        </row>
        <row r="1253">
          <cell r="B1253" t="str">
            <v>1998-MYY0006</v>
          </cell>
          <cell r="C1253" t="str">
            <v>M46</v>
          </cell>
        </row>
        <row r="1254">
          <cell r="B1254" t="str">
            <v>1998-MYY0007</v>
          </cell>
          <cell r="C1254" t="str">
            <v>M46</v>
          </cell>
        </row>
        <row r="1255">
          <cell r="B1255" t="str">
            <v>1998-MYY0007/MX</v>
          </cell>
          <cell r="C1255" t="str">
            <v>M46</v>
          </cell>
        </row>
        <row r="1256">
          <cell r="B1256" t="str">
            <v>1998-MYY0008</v>
          </cell>
          <cell r="C1256" t="str">
            <v>M46</v>
          </cell>
        </row>
        <row r="1257">
          <cell r="B1257" t="str">
            <v>1998-MYY0008/MX</v>
          </cell>
          <cell r="C1257" t="str">
            <v>M46</v>
          </cell>
        </row>
        <row r="1258">
          <cell r="B1258" t="str">
            <v>1998-MYY0009</v>
          </cell>
          <cell r="C1258" t="str">
            <v>M46</v>
          </cell>
        </row>
        <row r="1259">
          <cell r="B1259" t="str">
            <v>1998-MYY0009/MX</v>
          </cell>
          <cell r="C1259" t="str">
            <v>M46</v>
          </cell>
        </row>
        <row r="1260">
          <cell r="B1260" t="str">
            <v>1998-MYY0010</v>
          </cell>
          <cell r="C1260" t="str">
            <v>M46</v>
          </cell>
        </row>
        <row r="1261">
          <cell r="B1261" t="str">
            <v>1998-MYY0010/MX</v>
          </cell>
          <cell r="C1261" t="str">
            <v>M46</v>
          </cell>
        </row>
        <row r="1262">
          <cell r="B1262" t="str">
            <v>1998-MYY0011</v>
          </cell>
          <cell r="C1262" t="str">
            <v>M46</v>
          </cell>
        </row>
        <row r="1263">
          <cell r="B1263" t="str">
            <v>1998-MYY0011/MX</v>
          </cell>
          <cell r="C1263" t="str">
            <v>M46</v>
          </cell>
        </row>
        <row r="1264">
          <cell r="B1264" t="str">
            <v>1999-1020634EP</v>
          </cell>
          <cell r="C1264" t="str">
            <v>M46</v>
          </cell>
        </row>
        <row r="1265">
          <cell r="B1265" t="str">
            <v>1999-1062195</v>
          </cell>
          <cell r="C1265" t="str">
            <v>M46</v>
          </cell>
        </row>
        <row r="1266">
          <cell r="B1266" t="str">
            <v>1999-EQH0001</v>
          </cell>
          <cell r="C1266" t="str">
            <v>M46</v>
          </cell>
        </row>
        <row r="1267">
          <cell r="B1267" t="str">
            <v>1999-EQH0002</v>
          </cell>
          <cell r="C1267" t="str">
            <v>M46</v>
          </cell>
        </row>
        <row r="1268">
          <cell r="B1268" t="str">
            <v>1999-EQH0003</v>
          </cell>
          <cell r="C1268" t="str">
            <v>M46</v>
          </cell>
        </row>
        <row r="1269">
          <cell r="B1269" t="str">
            <v>1999-M020010/MX</v>
          </cell>
          <cell r="C1269" t="str">
            <v>M46</v>
          </cell>
        </row>
        <row r="1270">
          <cell r="B1270" t="str">
            <v>1999-M020010EN</v>
          </cell>
          <cell r="C1270" t="str">
            <v>M46</v>
          </cell>
        </row>
        <row r="1271">
          <cell r="B1271" t="str">
            <v>1999-M020015EN</v>
          </cell>
          <cell r="C1271" t="str">
            <v>M46</v>
          </cell>
        </row>
        <row r="1272">
          <cell r="B1272" t="str">
            <v>1999-M020016EN</v>
          </cell>
          <cell r="C1272" t="str">
            <v>M46</v>
          </cell>
        </row>
        <row r="1273">
          <cell r="B1273" t="str">
            <v>1999-MYY0001</v>
          </cell>
          <cell r="C1273" t="str">
            <v>M46</v>
          </cell>
        </row>
        <row r="1274">
          <cell r="B1274" t="str">
            <v>1999-MYY0001/MX</v>
          </cell>
          <cell r="C1274" t="str">
            <v>M46</v>
          </cell>
        </row>
        <row r="1275">
          <cell r="B1275" t="str">
            <v>1999-MYY0002</v>
          </cell>
          <cell r="C1275" t="str">
            <v>M46</v>
          </cell>
        </row>
        <row r="1276">
          <cell r="B1276" t="str">
            <v>1999-MYY0002/MX</v>
          </cell>
          <cell r="C1276" t="str">
            <v>M46</v>
          </cell>
        </row>
        <row r="1277">
          <cell r="B1277">
            <v>20000</v>
          </cell>
          <cell r="C1277" t="str">
            <v>M46</v>
          </cell>
        </row>
        <row r="1278">
          <cell r="B1278" t="str">
            <v>20710-52100</v>
          </cell>
          <cell r="C1278" t="str">
            <v>M46</v>
          </cell>
        </row>
        <row r="1279">
          <cell r="B1279" t="str">
            <v>20710-53900</v>
          </cell>
          <cell r="C1279" t="str">
            <v>M46</v>
          </cell>
        </row>
        <row r="1280">
          <cell r="B1280" t="str">
            <v>20711-52100</v>
          </cell>
          <cell r="C1280" t="str">
            <v>M46</v>
          </cell>
        </row>
        <row r="1281">
          <cell r="B1281" t="str">
            <v>21226-99900</v>
          </cell>
          <cell r="C1281" t="str">
            <v>M46</v>
          </cell>
        </row>
        <row r="1282">
          <cell r="B1282" t="str">
            <v>21244-99900</v>
          </cell>
          <cell r="C1282" t="str">
            <v>M46</v>
          </cell>
        </row>
        <row r="1283">
          <cell r="B1283" t="str">
            <v>21249-99900</v>
          </cell>
          <cell r="C1283" t="str">
            <v>M46</v>
          </cell>
        </row>
        <row r="1284">
          <cell r="B1284" t="str">
            <v>21261-99900</v>
          </cell>
          <cell r="C1284" t="str">
            <v>M46</v>
          </cell>
        </row>
        <row r="1285">
          <cell r="B1285" t="str">
            <v>22070-10800EP</v>
          </cell>
          <cell r="C1285" t="str">
            <v>M46</v>
          </cell>
        </row>
        <row r="1286">
          <cell r="B1286" t="str">
            <v>27015412 1</v>
          </cell>
          <cell r="C1286" t="str">
            <v>M46</v>
          </cell>
        </row>
        <row r="1287">
          <cell r="B1287">
            <v>50835</v>
          </cell>
          <cell r="C1287" t="str">
            <v>M46</v>
          </cell>
        </row>
        <row r="1288">
          <cell r="B1288">
            <v>61620</v>
          </cell>
          <cell r="C1288" t="str">
            <v>M46</v>
          </cell>
        </row>
        <row r="1289">
          <cell r="B1289" t="str">
            <v>61620-A</v>
          </cell>
          <cell r="C1289" t="str">
            <v>M46</v>
          </cell>
        </row>
        <row r="1290">
          <cell r="B1290">
            <v>843180701</v>
          </cell>
          <cell r="C1290" t="str">
            <v>M46</v>
          </cell>
        </row>
        <row r="1291">
          <cell r="B1291">
            <v>867381101</v>
          </cell>
          <cell r="C1291" t="str">
            <v>M46</v>
          </cell>
        </row>
        <row r="1292">
          <cell r="B1292">
            <v>872780801</v>
          </cell>
          <cell r="C1292" t="str">
            <v>M46</v>
          </cell>
        </row>
        <row r="1293">
          <cell r="B1293">
            <v>872780901</v>
          </cell>
          <cell r="C1293" t="str">
            <v>M46</v>
          </cell>
        </row>
        <row r="1294">
          <cell r="B1294" t="str">
            <v>CC-D-1200*1000*80</v>
          </cell>
          <cell r="C1294" t="str">
            <v>M46</v>
          </cell>
        </row>
        <row r="1295">
          <cell r="B1295" t="str">
            <v>CC-D-1200X1000X80</v>
          </cell>
          <cell r="C1295" t="str">
            <v>M46</v>
          </cell>
        </row>
        <row r="1296">
          <cell r="B1296" t="str">
            <v>CPLBPA004/1</v>
          </cell>
          <cell r="C1296" t="str">
            <v>M46</v>
          </cell>
        </row>
        <row r="1297">
          <cell r="B1297" t="str">
            <v>CPLBPA006/1</v>
          </cell>
          <cell r="C1297" t="str">
            <v>M46</v>
          </cell>
        </row>
        <row r="1298">
          <cell r="B1298" t="str">
            <v>CPPKPB005/1</v>
          </cell>
          <cell r="C1298" t="str">
            <v>M46</v>
          </cell>
        </row>
        <row r="1299">
          <cell r="B1299" t="str">
            <v>CPPKPG001</v>
          </cell>
          <cell r="C1299" t="str">
            <v>M46</v>
          </cell>
        </row>
        <row r="1300">
          <cell r="B1300" t="str">
            <v>CPPKPS290X240</v>
          </cell>
          <cell r="C1300" t="str">
            <v>M46</v>
          </cell>
        </row>
        <row r="1301">
          <cell r="B1301" t="str">
            <v>CPPKPS800X550</v>
          </cell>
          <cell r="C1301" t="str">
            <v>M46</v>
          </cell>
        </row>
        <row r="1302">
          <cell r="B1302" t="str">
            <v>CPPKPW013/1</v>
          </cell>
          <cell r="C1302" t="str">
            <v>M46</v>
          </cell>
        </row>
        <row r="1303">
          <cell r="B1303" t="str">
            <v>CPPKSC200/11</v>
          </cell>
          <cell r="C1303" t="str">
            <v>M46</v>
          </cell>
        </row>
        <row r="1304">
          <cell r="B1304" t="str">
            <v>CPPMRF201EN</v>
          </cell>
          <cell r="C1304" t="str">
            <v>M46</v>
          </cell>
        </row>
        <row r="1305">
          <cell r="B1305" t="str">
            <v>CS-S-1185X985X865</v>
          </cell>
          <cell r="C1305" t="str">
            <v>M46</v>
          </cell>
        </row>
        <row r="1306">
          <cell r="B1306" t="str">
            <v>CS-S-1185x985x865</v>
          </cell>
          <cell r="C1306" t="str">
            <v>M46</v>
          </cell>
        </row>
        <row r="1307">
          <cell r="B1307" t="str">
            <v>CT-D-580X385X100</v>
          </cell>
          <cell r="C1307" t="str">
            <v>M46</v>
          </cell>
        </row>
        <row r="1308">
          <cell r="B1308" t="str">
            <v>PU-S-540X365</v>
          </cell>
          <cell r="C1308" t="str">
            <v>M46</v>
          </cell>
        </row>
        <row r="1309">
          <cell r="B1309" t="str">
            <v>RMEPPD219</v>
          </cell>
          <cell r="C1309" t="str">
            <v>M46</v>
          </cell>
        </row>
        <row r="1310">
          <cell r="B1310" t="str">
            <v>RMPPSB001X110</v>
          </cell>
          <cell r="C1310" t="str">
            <v>M46</v>
          </cell>
        </row>
        <row r="1311">
          <cell r="B1311" t="str">
            <v>RMSFRL001X460</v>
          </cell>
          <cell r="C1311" t="str">
            <v>M46</v>
          </cell>
        </row>
        <row r="1312">
          <cell r="B1312" t="str">
            <v>RMSISC037X050</v>
          </cell>
          <cell r="C1312" t="str">
            <v>M46</v>
          </cell>
        </row>
        <row r="1313">
          <cell r="B1313" t="str">
            <v>RMTPPP002X635</v>
          </cell>
          <cell r="C1313" t="str">
            <v>M46</v>
          </cell>
        </row>
        <row r="1314">
          <cell r="B1314" t="str">
            <v>0060-1050650-B</v>
          </cell>
          <cell r="C1314" t="str">
            <v>M19</v>
          </cell>
        </row>
        <row r="1315">
          <cell r="B1315" t="str">
            <v>0060-1050730-B</v>
          </cell>
          <cell r="C1315" t="str">
            <v>M19</v>
          </cell>
        </row>
        <row r="1316">
          <cell r="B1316" t="str">
            <v>0060-1141250-B</v>
          </cell>
          <cell r="C1316" t="str">
            <v>M19</v>
          </cell>
        </row>
        <row r="1317">
          <cell r="B1317" t="str">
            <v>0060-1141320-B</v>
          </cell>
          <cell r="C1317" t="str">
            <v>M19</v>
          </cell>
        </row>
        <row r="1318">
          <cell r="B1318" t="str">
            <v>0060-1420600-B</v>
          </cell>
          <cell r="C1318" t="str">
            <v>M19</v>
          </cell>
        </row>
        <row r="1319">
          <cell r="B1319" t="str">
            <v>0060-1420730-B</v>
          </cell>
          <cell r="C1319" t="str">
            <v>M19</v>
          </cell>
        </row>
        <row r="1320">
          <cell r="B1320" t="str">
            <v>0060-1420750-B</v>
          </cell>
          <cell r="C1320" t="str">
            <v>M19</v>
          </cell>
        </row>
        <row r="1321">
          <cell r="B1321" t="str">
            <v>0060-1420950-B</v>
          </cell>
          <cell r="C1321" t="str">
            <v>M19</v>
          </cell>
        </row>
        <row r="1322">
          <cell r="B1322" t="str">
            <v>0060-5140800-B</v>
          </cell>
          <cell r="C1322" t="str">
            <v>M19</v>
          </cell>
        </row>
        <row r="1323">
          <cell r="B1323" t="str">
            <v>0060-5140850-B</v>
          </cell>
          <cell r="C1323" t="str">
            <v>M19</v>
          </cell>
        </row>
        <row r="1324">
          <cell r="B1324" t="str">
            <v>0060-5141150-B</v>
          </cell>
          <cell r="C1324" t="str">
            <v>M19</v>
          </cell>
        </row>
        <row r="1325">
          <cell r="B1325" t="str">
            <v>0060-5141250</v>
          </cell>
          <cell r="C1325" t="str">
            <v>M19</v>
          </cell>
        </row>
        <row r="1326">
          <cell r="B1326" t="str">
            <v>0060-5141250-B</v>
          </cell>
          <cell r="C1326" t="str">
            <v>M19</v>
          </cell>
        </row>
        <row r="1327">
          <cell r="B1327" t="str">
            <v>0060-5141320-B</v>
          </cell>
          <cell r="C1327" t="str">
            <v>M19</v>
          </cell>
        </row>
        <row r="1328">
          <cell r="B1328" t="str">
            <v>0060-5420900</v>
          </cell>
          <cell r="C1328" t="str">
            <v>M19</v>
          </cell>
        </row>
        <row r="1329">
          <cell r="B1329" t="str">
            <v>0060-5421024</v>
          </cell>
          <cell r="C1329" t="str">
            <v>M19</v>
          </cell>
        </row>
        <row r="1330">
          <cell r="B1330" t="str">
            <v>0060-G050800</v>
          </cell>
          <cell r="C1330" t="str">
            <v>M19</v>
          </cell>
        </row>
        <row r="1331">
          <cell r="B1331" t="str">
            <v>0060-G420800</v>
          </cell>
          <cell r="C1331" t="str">
            <v>M19</v>
          </cell>
        </row>
        <row r="1332">
          <cell r="B1332" t="str">
            <v>0060-M050950</v>
          </cell>
          <cell r="C1332" t="str">
            <v>M19</v>
          </cell>
        </row>
        <row r="1333">
          <cell r="B1333" t="str">
            <v>0060-M140950</v>
          </cell>
          <cell r="C1333" t="str">
            <v>M19</v>
          </cell>
        </row>
        <row r="1334">
          <cell r="B1334" t="str">
            <v>0060-M141020</v>
          </cell>
          <cell r="C1334" t="str">
            <v>M19</v>
          </cell>
        </row>
        <row r="1335">
          <cell r="B1335" t="str">
            <v>0060-M420950</v>
          </cell>
          <cell r="C1335" t="str">
            <v>M19</v>
          </cell>
        </row>
        <row r="1336">
          <cell r="B1336" t="str">
            <v>0062-1030080</v>
          </cell>
          <cell r="C1336" t="str">
            <v>M19</v>
          </cell>
        </row>
        <row r="1337">
          <cell r="B1337" t="str">
            <v>0062-1000080</v>
          </cell>
          <cell r="C1337" t="str">
            <v>M19</v>
          </cell>
        </row>
        <row r="1338">
          <cell r="B1338" t="str">
            <v>0062-1030300</v>
          </cell>
          <cell r="C1338" t="str">
            <v>M19</v>
          </cell>
        </row>
        <row r="1339">
          <cell r="B1339" t="str">
            <v>0062-5000003</v>
          </cell>
          <cell r="C1339" t="str">
            <v>M19</v>
          </cell>
        </row>
        <row r="1340">
          <cell r="B1340" t="str">
            <v>0062-5010001</v>
          </cell>
          <cell r="C1340" t="str">
            <v>M19</v>
          </cell>
        </row>
        <row r="1341">
          <cell r="B1341" t="str">
            <v>0062-800B080</v>
          </cell>
          <cell r="C1341" t="str">
            <v>M19</v>
          </cell>
        </row>
        <row r="1342">
          <cell r="B1342" t="str">
            <v>0063-1000005</v>
          </cell>
          <cell r="C1342" t="str">
            <v>M19</v>
          </cell>
        </row>
        <row r="1343">
          <cell r="B1343" t="str">
            <v>0070-1110019</v>
          </cell>
          <cell r="C1343" t="str">
            <v>M19</v>
          </cell>
        </row>
        <row r="1344">
          <cell r="B1344" t="str">
            <v>0070-1220004</v>
          </cell>
          <cell r="C1344" t="str">
            <v>M19</v>
          </cell>
        </row>
        <row r="1345">
          <cell r="B1345" t="str">
            <v>0070-5020000</v>
          </cell>
          <cell r="C1345" t="str">
            <v>M19</v>
          </cell>
        </row>
        <row r="1346">
          <cell r="B1346" t="str">
            <v>0070-5020001</v>
          </cell>
          <cell r="C1346" t="str">
            <v>M19</v>
          </cell>
        </row>
        <row r="1347">
          <cell r="B1347" t="str">
            <v>0070-5040006</v>
          </cell>
          <cell r="C1347" t="str">
            <v>M19</v>
          </cell>
        </row>
        <row r="1348">
          <cell r="B1348" t="str">
            <v>0081-1000074</v>
          </cell>
          <cell r="C1348" t="str">
            <v>M19</v>
          </cell>
        </row>
        <row r="1349">
          <cell r="B1349" t="str">
            <v>0081-1000091</v>
          </cell>
          <cell r="C1349" t="str">
            <v>M19</v>
          </cell>
        </row>
        <row r="1350">
          <cell r="B1350" t="str">
            <v>0081-1000091EN</v>
          </cell>
          <cell r="C1350" t="str">
            <v>M19</v>
          </cell>
        </row>
        <row r="1351">
          <cell r="B1351" t="str">
            <v>0081-1000095</v>
          </cell>
          <cell r="C1351" t="str">
            <v>M19</v>
          </cell>
        </row>
        <row r="1352">
          <cell r="B1352" t="str">
            <v>0081-1000097</v>
          </cell>
          <cell r="C1352" t="str">
            <v>M19</v>
          </cell>
        </row>
        <row r="1353">
          <cell r="B1353" t="str">
            <v>0081-1000098</v>
          </cell>
          <cell r="C1353" t="str">
            <v>M19</v>
          </cell>
        </row>
        <row r="1354">
          <cell r="B1354" t="str">
            <v>0081-5000000</v>
          </cell>
          <cell r="C1354" t="str">
            <v>M19</v>
          </cell>
        </row>
        <row r="1355">
          <cell r="B1355" t="str">
            <v>0081-5000001</v>
          </cell>
          <cell r="C1355" t="str">
            <v>M19</v>
          </cell>
        </row>
        <row r="1356">
          <cell r="B1356" t="str">
            <v>0081-5000001EN</v>
          </cell>
          <cell r="C1356" t="str">
            <v>M19</v>
          </cell>
        </row>
        <row r="1357">
          <cell r="B1357" t="str">
            <v>0081-5000002</v>
          </cell>
          <cell r="C1357" t="str">
            <v>M19</v>
          </cell>
        </row>
        <row r="1358">
          <cell r="B1358" t="str">
            <v>0081-5000011</v>
          </cell>
          <cell r="C1358" t="str">
            <v>M19</v>
          </cell>
        </row>
        <row r="1359">
          <cell r="B1359" t="str">
            <v>0083-5000000</v>
          </cell>
          <cell r="C1359" t="str">
            <v>M19</v>
          </cell>
        </row>
        <row r="1360">
          <cell r="B1360" t="str">
            <v>0085-1000002</v>
          </cell>
          <cell r="C1360" t="str">
            <v>M19</v>
          </cell>
        </row>
        <row r="1361">
          <cell r="B1361" t="str">
            <v>0088-1000091</v>
          </cell>
          <cell r="C1361" t="str">
            <v>M19</v>
          </cell>
        </row>
        <row r="1362">
          <cell r="B1362" t="str">
            <v>0088-1000091EN</v>
          </cell>
          <cell r="C1362" t="str">
            <v>M19</v>
          </cell>
        </row>
        <row r="1363">
          <cell r="B1363" t="str">
            <v>0088-1000095</v>
          </cell>
          <cell r="C1363" t="str">
            <v>M19</v>
          </cell>
        </row>
        <row r="1364">
          <cell r="B1364" t="str">
            <v>0088-1000096</v>
          </cell>
          <cell r="C1364" t="str">
            <v>M19</v>
          </cell>
        </row>
        <row r="1365">
          <cell r="B1365" t="str">
            <v>0088-5000000</v>
          </cell>
          <cell r="C1365" t="str">
            <v>M19</v>
          </cell>
        </row>
        <row r="1366">
          <cell r="B1366" t="str">
            <v>0088-5000001</v>
          </cell>
          <cell r="C1366" t="str">
            <v>M19</v>
          </cell>
        </row>
        <row r="1367">
          <cell r="B1367" t="str">
            <v>1100-5YY0445/MX</v>
          </cell>
          <cell r="C1367" t="str">
            <v>M19</v>
          </cell>
        </row>
        <row r="1368">
          <cell r="B1368" t="str">
            <v>1100-5YY0449/MX</v>
          </cell>
          <cell r="C1368" t="str">
            <v>M19</v>
          </cell>
        </row>
        <row r="1369">
          <cell r="B1369" t="str">
            <v>1100-5YY0450/MX</v>
          </cell>
          <cell r="C1369" t="str">
            <v>M19</v>
          </cell>
        </row>
        <row r="1370">
          <cell r="B1370" t="str">
            <v>1100-5YY0456/MX</v>
          </cell>
          <cell r="C1370" t="str">
            <v>M19</v>
          </cell>
        </row>
        <row r="1371">
          <cell r="B1371" t="str">
            <v>1100-5YY0466/MX</v>
          </cell>
          <cell r="C1371" t="str">
            <v>M19</v>
          </cell>
        </row>
        <row r="1372">
          <cell r="B1372" t="str">
            <v>1100-5YY0467/MX</v>
          </cell>
          <cell r="C1372" t="str">
            <v>M19</v>
          </cell>
        </row>
        <row r="1373">
          <cell r="B1373" t="str">
            <v>1100-5YY0471/MX</v>
          </cell>
          <cell r="C1373" t="str">
            <v>M19</v>
          </cell>
        </row>
        <row r="1374">
          <cell r="B1374" t="str">
            <v>1100-5YY0538</v>
          </cell>
          <cell r="C1374" t="str">
            <v>M19</v>
          </cell>
        </row>
        <row r="1375">
          <cell r="B1375" t="str">
            <v>1101-5YY0289EN</v>
          </cell>
          <cell r="C1375" t="str">
            <v>M19</v>
          </cell>
        </row>
        <row r="1376">
          <cell r="B1376" t="str">
            <v>1101-5YY0291EN</v>
          </cell>
          <cell r="C1376" t="str">
            <v>M19</v>
          </cell>
        </row>
        <row r="1377">
          <cell r="B1377" t="str">
            <v>1101-5YY0294EN</v>
          </cell>
          <cell r="C1377" t="str">
            <v>M19</v>
          </cell>
        </row>
        <row r="1378">
          <cell r="B1378" t="str">
            <v>1101-5YY0295EN</v>
          </cell>
          <cell r="C1378" t="str">
            <v>M19</v>
          </cell>
        </row>
        <row r="1379">
          <cell r="B1379" t="str">
            <v>1101-5YY0296EN</v>
          </cell>
          <cell r="C1379" t="str">
            <v>M19</v>
          </cell>
        </row>
        <row r="1380">
          <cell r="B1380" t="str">
            <v>1101-5YY0299EN</v>
          </cell>
          <cell r="C1380" t="str">
            <v>M19</v>
          </cell>
        </row>
        <row r="1381">
          <cell r="B1381" t="str">
            <v>1101-5YY0312EN</v>
          </cell>
          <cell r="C1381" t="str">
            <v>M19</v>
          </cell>
        </row>
        <row r="1382">
          <cell r="B1382" t="str">
            <v>1101-5YY0313EN</v>
          </cell>
          <cell r="C1382" t="str">
            <v>M19</v>
          </cell>
        </row>
        <row r="1383">
          <cell r="B1383" t="str">
            <v>1101-5YY0320EN</v>
          </cell>
          <cell r="C1383" t="str">
            <v>M19</v>
          </cell>
        </row>
        <row r="1384">
          <cell r="B1384" t="str">
            <v>1101-5YY0326/MX</v>
          </cell>
          <cell r="C1384" t="str">
            <v>M19</v>
          </cell>
        </row>
        <row r="1385">
          <cell r="B1385" t="str">
            <v>1101-5YY0343EN</v>
          </cell>
          <cell r="C1385" t="str">
            <v>M19</v>
          </cell>
        </row>
        <row r="1386">
          <cell r="B1386" t="str">
            <v>1101-5YY0353EN</v>
          </cell>
          <cell r="C1386" t="str">
            <v>M19</v>
          </cell>
        </row>
        <row r="1387">
          <cell r="B1387" t="str">
            <v>1101-5YY0354EN</v>
          </cell>
          <cell r="C1387" t="str">
            <v>M19</v>
          </cell>
        </row>
        <row r="1388">
          <cell r="B1388" t="str">
            <v>1101-5YY0361EN</v>
          </cell>
          <cell r="C1388" t="str">
            <v>M19</v>
          </cell>
        </row>
        <row r="1389">
          <cell r="B1389" t="str">
            <v>1103-5YY0068/MX</v>
          </cell>
          <cell r="C1389" t="str">
            <v>M19</v>
          </cell>
        </row>
        <row r="1390">
          <cell r="B1390" t="str">
            <v>1103-5YY0090</v>
          </cell>
          <cell r="C1390" t="str">
            <v>M19</v>
          </cell>
        </row>
        <row r="1391">
          <cell r="B1391" t="str">
            <v>1103-5YY0130EN</v>
          </cell>
          <cell r="C1391" t="str">
            <v>M19</v>
          </cell>
        </row>
        <row r="1392">
          <cell r="B1392" t="str">
            <v>1104-1YY0062EN</v>
          </cell>
          <cell r="C1392" t="str">
            <v>M19</v>
          </cell>
        </row>
        <row r="1393">
          <cell r="B1393" t="str">
            <v>1104-5YY0022/MX</v>
          </cell>
          <cell r="C1393" t="str">
            <v>M19</v>
          </cell>
        </row>
        <row r="1394">
          <cell r="B1394" t="str">
            <v>1104-5YY0022EN</v>
          </cell>
          <cell r="C1394" t="str">
            <v>M19</v>
          </cell>
        </row>
        <row r="1395">
          <cell r="B1395" t="str">
            <v>1104-5YY0030</v>
          </cell>
          <cell r="C1395" t="str">
            <v>M19</v>
          </cell>
        </row>
        <row r="1396">
          <cell r="B1396" t="str">
            <v>1104-5YY0057</v>
          </cell>
          <cell r="C1396" t="str">
            <v>M19</v>
          </cell>
        </row>
        <row r="1397">
          <cell r="B1397" t="str">
            <v>1106-5YY0012-T2EN</v>
          </cell>
          <cell r="C1397" t="str">
            <v>M19</v>
          </cell>
        </row>
        <row r="1398">
          <cell r="B1398" t="str">
            <v>1106-5YY0012-T9EN</v>
          </cell>
          <cell r="C1398" t="str">
            <v>M19</v>
          </cell>
        </row>
        <row r="1399">
          <cell r="B1399" t="str">
            <v>1106-5YY0013-T2EN</v>
          </cell>
          <cell r="C1399" t="str">
            <v>M19</v>
          </cell>
        </row>
        <row r="1400">
          <cell r="B1400" t="str">
            <v>1106-5YY0013-T9EN</v>
          </cell>
          <cell r="C1400" t="str">
            <v>M19</v>
          </cell>
        </row>
        <row r="1401">
          <cell r="B1401" t="str">
            <v>1106-5YY0014-T2EN</v>
          </cell>
          <cell r="C1401" t="str">
            <v>M19</v>
          </cell>
        </row>
        <row r="1402">
          <cell r="B1402" t="str">
            <v>1106-5YY0014-T9EN</v>
          </cell>
          <cell r="C1402" t="str">
            <v>M19</v>
          </cell>
        </row>
        <row r="1403">
          <cell r="B1403" t="str">
            <v>1106-5YY0015-T2EN</v>
          </cell>
          <cell r="C1403" t="str">
            <v>M19</v>
          </cell>
        </row>
        <row r="1404">
          <cell r="B1404" t="str">
            <v>1106-5YY0016-T2EN</v>
          </cell>
          <cell r="C1404" t="str">
            <v>M19</v>
          </cell>
        </row>
        <row r="1405">
          <cell r="B1405" t="str">
            <v>1106-5YY0017-T2EN</v>
          </cell>
          <cell r="C1405" t="str">
            <v>M19</v>
          </cell>
        </row>
        <row r="1406">
          <cell r="B1406" t="str">
            <v>1106-5YY0031-T2EN</v>
          </cell>
          <cell r="C1406" t="str">
            <v>M19</v>
          </cell>
        </row>
        <row r="1407">
          <cell r="B1407" t="str">
            <v>1106-5YY0031EN</v>
          </cell>
          <cell r="C1407" t="str">
            <v>M19</v>
          </cell>
        </row>
        <row r="1408">
          <cell r="B1408" t="str">
            <v>1106-5YY0032-T2EN</v>
          </cell>
          <cell r="C1408" t="str">
            <v>M19</v>
          </cell>
        </row>
        <row r="1409">
          <cell r="B1409" t="str">
            <v>1106-5YY0032EN</v>
          </cell>
          <cell r="C1409" t="str">
            <v>M19</v>
          </cell>
        </row>
        <row r="1410">
          <cell r="B1410" t="str">
            <v>1106-5YY0033-T2EN</v>
          </cell>
          <cell r="C1410" t="str">
            <v>M19</v>
          </cell>
        </row>
        <row r="1411">
          <cell r="B1411" t="str">
            <v>1106-5YY0033EN</v>
          </cell>
          <cell r="C1411" t="str">
            <v>M19</v>
          </cell>
        </row>
        <row r="1412">
          <cell r="B1412" t="str">
            <v>1106-5YY0064EN</v>
          </cell>
          <cell r="C1412" t="str">
            <v>M19</v>
          </cell>
        </row>
        <row r="1413">
          <cell r="B1413" t="str">
            <v>1106-5YY0065EN</v>
          </cell>
          <cell r="C1413" t="str">
            <v>M19</v>
          </cell>
        </row>
        <row r="1414">
          <cell r="B1414" t="str">
            <v>1106-5YY0066EN</v>
          </cell>
          <cell r="C1414" t="str">
            <v>M19</v>
          </cell>
        </row>
        <row r="1415">
          <cell r="B1415" t="str">
            <v>1108-1YY0106EN</v>
          </cell>
          <cell r="C1415" t="str">
            <v>M19</v>
          </cell>
        </row>
        <row r="1416">
          <cell r="B1416" t="str">
            <v>1108-5YY0015EP</v>
          </cell>
          <cell r="C1416" t="str">
            <v>M19</v>
          </cell>
        </row>
        <row r="1417">
          <cell r="B1417" t="str">
            <v>1108-5YY0050</v>
          </cell>
          <cell r="C1417" t="str">
            <v>M19</v>
          </cell>
        </row>
        <row r="1418">
          <cell r="B1418" t="str">
            <v>1110-10P0014EN</v>
          </cell>
          <cell r="C1418" t="str">
            <v>M19</v>
          </cell>
        </row>
        <row r="1419">
          <cell r="B1419" t="str">
            <v>1110-10P0033EP</v>
          </cell>
          <cell r="C1419" t="str">
            <v>M19</v>
          </cell>
        </row>
        <row r="1420">
          <cell r="B1420" t="str">
            <v>1111-5YY0148</v>
          </cell>
          <cell r="C1420" t="str">
            <v>M19</v>
          </cell>
        </row>
        <row r="1421">
          <cell r="B1421" t="str">
            <v>1111-5YY0148/MX</v>
          </cell>
          <cell r="C1421" t="str">
            <v>M19</v>
          </cell>
        </row>
        <row r="1422">
          <cell r="B1422" t="str">
            <v>1111-5YY0167</v>
          </cell>
          <cell r="C1422" t="str">
            <v>M19</v>
          </cell>
        </row>
        <row r="1423">
          <cell r="B1423" t="str">
            <v>1111-5YY0167/MX</v>
          </cell>
          <cell r="C1423" t="str">
            <v>M19</v>
          </cell>
        </row>
        <row r="1424">
          <cell r="B1424" t="str">
            <v>1111-5YY0199</v>
          </cell>
          <cell r="C1424" t="str">
            <v>M19</v>
          </cell>
        </row>
        <row r="1425">
          <cell r="B1425" t="str">
            <v>1111-5YY0214/MX</v>
          </cell>
          <cell r="C1425" t="str">
            <v>M19</v>
          </cell>
        </row>
        <row r="1426">
          <cell r="B1426" t="str">
            <v>1111-5YY0242/MX</v>
          </cell>
          <cell r="C1426" t="str">
            <v>M19</v>
          </cell>
        </row>
        <row r="1427">
          <cell r="B1427" t="str">
            <v>1111-5YY0301</v>
          </cell>
          <cell r="C1427" t="str">
            <v>M19</v>
          </cell>
        </row>
        <row r="1428">
          <cell r="B1428" t="str">
            <v>1111-5YY0318/MX</v>
          </cell>
          <cell r="C1428" t="str">
            <v>M19</v>
          </cell>
        </row>
        <row r="1429">
          <cell r="B1429" t="str">
            <v>1111-5YY0332</v>
          </cell>
          <cell r="C1429" t="str">
            <v>M19</v>
          </cell>
        </row>
        <row r="1430">
          <cell r="B1430" t="str">
            <v>1111-5YY0334</v>
          </cell>
          <cell r="C1430" t="str">
            <v>M19</v>
          </cell>
        </row>
        <row r="1431">
          <cell r="B1431" t="str">
            <v>1111-5YY0375</v>
          </cell>
          <cell r="C1431" t="str">
            <v>M19</v>
          </cell>
        </row>
        <row r="1432">
          <cell r="B1432" t="str">
            <v>1117-5YY0048EN</v>
          </cell>
          <cell r="C1432" t="str">
            <v>M19</v>
          </cell>
        </row>
        <row r="1433">
          <cell r="B1433" t="str">
            <v>1127-5YY0008</v>
          </cell>
          <cell r="C1433" t="str">
            <v>M19</v>
          </cell>
        </row>
        <row r="1434">
          <cell r="B1434" t="str">
            <v>1127-5YY0008/RS</v>
          </cell>
          <cell r="C1434" t="str">
            <v>M19</v>
          </cell>
        </row>
        <row r="1435">
          <cell r="B1435" t="str">
            <v>1127-5YY0009/MX</v>
          </cell>
          <cell r="C1435" t="str">
            <v>M19</v>
          </cell>
        </row>
        <row r="1436">
          <cell r="B1436" t="str">
            <v>1128-5YY0018</v>
          </cell>
          <cell r="C1436" t="str">
            <v>M19</v>
          </cell>
        </row>
        <row r="1437">
          <cell r="B1437" t="str">
            <v>1128-5YY0035-93EN</v>
          </cell>
          <cell r="C1437" t="str">
            <v>M19</v>
          </cell>
        </row>
        <row r="1438">
          <cell r="B1438" t="str">
            <v>1132-5YY0009/MX</v>
          </cell>
          <cell r="C1438" t="str">
            <v>M19</v>
          </cell>
        </row>
        <row r="1439">
          <cell r="B1439" t="str">
            <v>1132-5YY0009EN</v>
          </cell>
          <cell r="C1439" t="str">
            <v>M19</v>
          </cell>
        </row>
        <row r="1440">
          <cell r="B1440" t="str">
            <v>1132-5YY0012EN</v>
          </cell>
          <cell r="C1440" t="str">
            <v>M19</v>
          </cell>
        </row>
        <row r="1441">
          <cell r="B1441" t="str">
            <v>1132-5YY0013/MX</v>
          </cell>
          <cell r="C1441" t="str">
            <v>M19</v>
          </cell>
        </row>
        <row r="1442">
          <cell r="B1442" t="str">
            <v>1132-5YY0018/MX</v>
          </cell>
          <cell r="C1442" t="str">
            <v>M19</v>
          </cell>
        </row>
        <row r="1443">
          <cell r="B1443" t="str">
            <v>1132-5YY0019/MX</v>
          </cell>
          <cell r="C1443" t="str">
            <v>M19</v>
          </cell>
        </row>
        <row r="1444">
          <cell r="B1444" t="str">
            <v>1132-5YY0022-YGEN/RS</v>
          </cell>
          <cell r="C1444" t="str">
            <v>M19</v>
          </cell>
        </row>
        <row r="1445">
          <cell r="B1445" t="str">
            <v>1132-5YY0022/RS</v>
          </cell>
          <cell r="C1445" t="str">
            <v>M19</v>
          </cell>
        </row>
        <row r="1446">
          <cell r="B1446" t="str">
            <v>1132-5YY0023-YGEN/RS</v>
          </cell>
          <cell r="C1446" t="str">
            <v>M19</v>
          </cell>
        </row>
        <row r="1447">
          <cell r="B1447" t="str">
            <v>1132-5YY0023/RS</v>
          </cell>
          <cell r="C1447" t="str">
            <v>M19</v>
          </cell>
        </row>
        <row r="1448">
          <cell r="B1448" t="str">
            <v>1132-5YY0028/MX</v>
          </cell>
          <cell r="C1448" t="str">
            <v>M19</v>
          </cell>
        </row>
        <row r="1449">
          <cell r="B1449" t="str">
            <v>1132-5YY0029/MX</v>
          </cell>
          <cell r="C1449" t="str">
            <v>M19</v>
          </cell>
        </row>
        <row r="1450">
          <cell r="B1450" t="str">
            <v>1132-5YY0029EN</v>
          </cell>
          <cell r="C1450" t="str">
            <v>M19</v>
          </cell>
        </row>
        <row r="1451">
          <cell r="B1451" t="str">
            <v>1132-5YY0031-21/MX</v>
          </cell>
          <cell r="C1451" t="str">
            <v>M19</v>
          </cell>
        </row>
        <row r="1452">
          <cell r="B1452" t="str">
            <v>1132-5YY0032-21/MX</v>
          </cell>
          <cell r="C1452" t="str">
            <v>M19</v>
          </cell>
        </row>
        <row r="1453">
          <cell r="B1453" t="str">
            <v>1132-5YY0033/MX</v>
          </cell>
          <cell r="C1453" t="str">
            <v>M19</v>
          </cell>
        </row>
        <row r="1454">
          <cell r="B1454" t="str">
            <v>1132-5YY0034/MX</v>
          </cell>
          <cell r="C1454" t="str">
            <v>M19</v>
          </cell>
        </row>
        <row r="1455">
          <cell r="B1455" t="str">
            <v>1132-5YY0035/MX</v>
          </cell>
          <cell r="C1455" t="str">
            <v>M19</v>
          </cell>
        </row>
        <row r="1456">
          <cell r="B1456" t="str">
            <v>1132-5YY0036/MX</v>
          </cell>
          <cell r="C1456" t="str">
            <v>M19</v>
          </cell>
        </row>
        <row r="1457">
          <cell r="B1457" t="str">
            <v>1132-5YY0037/MX</v>
          </cell>
          <cell r="C1457" t="str">
            <v>M19</v>
          </cell>
        </row>
        <row r="1458">
          <cell r="B1458" t="str">
            <v>1132-5YY0040/MX</v>
          </cell>
          <cell r="C1458" t="str">
            <v>M19</v>
          </cell>
        </row>
        <row r="1459">
          <cell r="B1459" t="str">
            <v>1132-5YY0041/MX</v>
          </cell>
          <cell r="C1459" t="str">
            <v>M19</v>
          </cell>
        </row>
        <row r="1460">
          <cell r="B1460" t="str">
            <v>1132-5YY0051/MX</v>
          </cell>
          <cell r="C1460" t="str">
            <v>M19</v>
          </cell>
        </row>
        <row r="1461">
          <cell r="B1461" t="str">
            <v>1132-5YY0046/MX</v>
          </cell>
          <cell r="C1461" t="str">
            <v>M19</v>
          </cell>
        </row>
        <row r="1462">
          <cell r="B1462" t="str">
            <v>1132-5YY0052/MX</v>
          </cell>
          <cell r="C1462" t="str">
            <v>M19</v>
          </cell>
        </row>
        <row r="1463">
          <cell r="B1463" t="str">
            <v>1132-5YY0055/MX</v>
          </cell>
          <cell r="C1463" t="str">
            <v>M19</v>
          </cell>
        </row>
        <row r="1464">
          <cell r="B1464" t="str">
            <v>1132-5YY0056/MX</v>
          </cell>
          <cell r="C1464" t="str">
            <v>M19</v>
          </cell>
        </row>
        <row r="1465">
          <cell r="B1465" t="str">
            <v>1140-5YY0004EN</v>
          </cell>
          <cell r="C1465" t="str">
            <v>M19</v>
          </cell>
        </row>
        <row r="1466">
          <cell r="B1466" t="str">
            <v>1144-5YY0013/MX</v>
          </cell>
          <cell r="C1466" t="str">
            <v>M19</v>
          </cell>
        </row>
        <row r="1467">
          <cell r="B1467" t="str">
            <v>1144-5YY0016/MX</v>
          </cell>
          <cell r="C1467" t="str">
            <v>M19</v>
          </cell>
        </row>
        <row r="1468">
          <cell r="B1468" t="str">
            <v>1144-5YY0042/MX</v>
          </cell>
          <cell r="C1468" t="str">
            <v>M19</v>
          </cell>
        </row>
        <row r="1469">
          <cell r="B1469" t="str">
            <v>1144-5YY0044/MX</v>
          </cell>
          <cell r="C1469" t="str">
            <v>M19</v>
          </cell>
        </row>
        <row r="1470">
          <cell r="B1470" t="str">
            <v>1144-5YY0048/MX</v>
          </cell>
          <cell r="C1470" t="str">
            <v>M19</v>
          </cell>
        </row>
        <row r="1471">
          <cell r="B1471" t="str">
            <v>1144-5YY0048/MXA</v>
          </cell>
          <cell r="C1471" t="str">
            <v>M19</v>
          </cell>
        </row>
        <row r="1472">
          <cell r="B1472" t="str">
            <v>1144-5YY0056</v>
          </cell>
          <cell r="C1472" t="str">
            <v>M19</v>
          </cell>
        </row>
        <row r="1473">
          <cell r="B1473" t="str">
            <v>1144-5YY0056/MX</v>
          </cell>
          <cell r="C1473" t="str">
            <v>M19</v>
          </cell>
        </row>
        <row r="1474">
          <cell r="B1474" t="str">
            <v>1144-5YY0057/MX</v>
          </cell>
          <cell r="C1474" t="str">
            <v>M19</v>
          </cell>
        </row>
        <row r="1475">
          <cell r="B1475" t="str">
            <v>1144-5YY0062/MX</v>
          </cell>
          <cell r="C1475" t="str">
            <v>M19</v>
          </cell>
        </row>
        <row r="1476">
          <cell r="B1476" t="str">
            <v>1144-5YY0068/MX</v>
          </cell>
          <cell r="C1476" t="str">
            <v>M19</v>
          </cell>
        </row>
        <row r="1477">
          <cell r="B1477" t="str">
            <v>1144-5YY0080/MX</v>
          </cell>
          <cell r="C1477" t="str">
            <v>M19</v>
          </cell>
        </row>
        <row r="1478">
          <cell r="B1478" t="str">
            <v>1144-5YY0090/MX</v>
          </cell>
          <cell r="C1478" t="str">
            <v>M19</v>
          </cell>
        </row>
        <row r="1479">
          <cell r="B1479" t="str">
            <v>1144-5YY0100/MX</v>
          </cell>
          <cell r="C1479" t="str">
            <v>M19</v>
          </cell>
        </row>
        <row r="1480">
          <cell r="B1480" t="str">
            <v>1144-5YY0115/MX</v>
          </cell>
          <cell r="C1480" t="str">
            <v>M19</v>
          </cell>
        </row>
        <row r="1481">
          <cell r="B1481" t="str">
            <v>1144-5YY0117</v>
          </cell>
          <cell r="C1481" t="str">
            <v>M19</v>
          </cell>
        </row>
        <row r="1482">
          <cell r="B1482" t="str">
            <v>1144-5YY0136</v>
          </cell>
          <cell r="C1482" t="str">
            <v>M19</v>
          </cell>
        </row>
        <row r="1483">
          <cell r="B1483" t="str">
            <v>1144-5YY0139</v>
          </cell>
          <cell r="C1483" t="str">
            <v>M19</v>
          </cell>
        </row>
        <row r="1484">
          <cell r="B1484" t="str">
            <v>1144-5YY0149</v>
          </cell>
          <cell r="C1484" t="str">
            <v>M19</v>
          </cell>
        </row>
        <row r="1485">
          <cell r="B1485" t="str">
            <v>1144-5YY0150</v>
          </cell>
          <cell r="C1485" t="str">
            <v>M19</v>
          </cell>
        </row>
        <row r="1486">
          <cell r="B1486" t="str">
            <v>1144-5YY0151</v>
          </cell>
          <cell r="C1486" t="str">
            <v>M19</v>
          </cell>
        </row>
        <row r="1487">
          <cell r="B1487" t="str">
            <v>1144-5YY0152</v>
          </cell>
          <cell r="C1487" t="str">
            <v>M19</v>
          </cell>
        </row>
        <row r="1488">
          <cell r="B1488" t="str">
            <v>1144-5YY0153</v>
          </cell>
          <cell r="C1488" t="str">
            <v>M19</v>
          </cell>
        </row>
        <row r="1489">
          <cell r="B1489" t="str">
            <v>1144-5YY0157</v>
          </cell>
          <cell r="C1489" t="str">
            <v>M19</v>
          </cell>
        </row>
        <row r="1490">
          <cell r="B1490" t="str">
            <v>1144-5YY0158</v>
          </cell>
          <cell r="C1490" t="str">
            <v>M19</v>
          </cell>
        </row>
        <row r="1491">
          <cell r="B1491" t="str">
            <v>1144-5YY0167</v>
          </cell>
          <cell r="C1491" t="str">
            <v>M19</v>
          </cell>
        </row>
        <row r="1492">
          <cell r="B1492" t="str">
            <v>1144-5YY0175</v>
          </cell>
          <cell r="C1492" t="str">
            <v>M19</v>
          </cell>
        </row>
        <row r="1493">
          <cell r="B1493" t="str">
            <v>1144-5YY0183</v>
          </cell>
          <cell r="C1493" t="str">
            <v>M19</v>
          </cell>
        </row>
        <row r="1494">
          <cell r="B1494" t="str">
            <v>1144-5YY0201</v>
          </cell>
          <cell r="C1494" t="str">
            <v>M19</v>
          </cell>
        </row>
        <row r="1495">
          <cell r="B1495" t="str">
            <v>1144-5YY0203</v>
          </cell>
          <cell r="C1495" t="str">
            <v>M19</v>
          </cell>
        </row>
        <row r="1496">
          <cell r="B1496" t="str">
            <v>1144-5YY0219</v>
          </cell>
          <cell r="C1496" t="str">
            <v>M19</v>
          </cell>
        </row>
        <row r="1497">
          <cell r="B1497" t="str">
            <v>1144-5YY0225</v>
          </cell>
          <cell r="C1497" t="str">
            <v>M19</v>
          </cell>
        </row>
        <row r="1498">
          <cell r="B1498" t="str">
            <v>1152-5YY0087/MX</v>
          </cell>
          <cell r="C1498" t="str">
            <v>M19</v>
          </cell>
        </row>
        <row r="1499">
          <cell r="B1499" t="str">
            <v>1152-5YY0089/MX</v>
          </cell>
          <cell r="C1499" t="str">
            <v>M19</v>
          </cell>
        </row>
        <row r="1500">
          <cell r="B1500" t="str">
            <v>1152-5YY0149</v>
          </cell>
          <cell r="C1500" t="str">
            <v>M19</v>
          </cell>
        </row>
        <row r="1501">
          <cell r="B1501" t="str">
            <v>1152-5YY0158</v>
          </cell>
          <cell r="C1501" t="str">
            <v>M19</v>
          </cell>
        </row>
        <row r="1502">
          <cell r="B1502" t="str">
            <v>1152-5YY0169</v>
          </cell>
          <cell r="C1502" t="str">
            <v>M19</v>
          </cell>
        </row>
        <row r="1503">
          <cell r="B1503" t="str">
            <v>1152-5YY0175</v>
          </cell>
          <cell r="C1503" t="str">
            <v>M19</v>
          </cell>
        </row>
        <row r="1504">
          <cell r="B1504" t="str">
            <v>1152-5YY0177EN</v>
          </cell>
          <cell r="C1504" t="str">
            <v>M19</v>
          </cell>
        </row>
        <row r="1505">
          <cell r="B1505" t="str">
            <v>1152-5YY0221EN</v>
          </cell>
          <cell r="C1505" t="str">
            <v>M19</v>
          </cell>
        </row>
        <row r="1506">
          <cell r="B1506" t="str">
            <v>1202-1YY0090-76EN</v>
          </cell>
          <cell r="C1506" t="str">
            <v>M19</v>
          </cell>
        </row>
        <row r="1507">
          <cell r="B1507" t="str">
            <v>1202-5YY0024-76EN</v>
          </cell>
          <cell r="C1507" t="str">
            <v>M19</v>
          </cell>
        </row>
        <row r="1508">
          <cell r="B1508" t="str">
            <v>1203-1YY0112</v>
          </cell>
          <cell r="C1508" t="str">
            <v>M19</v>
          </cell>
        </row>
        <row r="1509">
          <cell r="B1509" t="str">
            <v>1203-5YY0001</v>
          </cell>
          <cell r="C1509" t="str">
            <v>M19</v>
          </cell>
        </row>
        <row r="1510">
          <cell r="B1510" t="str">
            <v>1203-5YY0017</v>
          </cell>
          <cell r="C1510" t="str">
            <v>M19</v>
          </cell>
        </row>
        <row r="1511">
          <cell r="B1511" t="str">
            <v>1203-5YY0023</v>
          </cell>
          <cell r="C1511" t="str">
            <v>M19</v>
          </cell>
        </row>
        <row r="1512">
          <cell r="B1512" t="str">
            <v>1204-5YY0009-56EN</v>
          </cell>
          <cell r="C1512" t="str">
            <v>M19</v>
          </cell>
        </row>
        <row r="1513">
          <cell r="B1513" t="str">
            <v>1204-5YY0012</v>
          </cell>
          <cell r="C1513" t="str">
            <v>M19</v>
          </cell>
        </row>
        <row r="1514">
          <cell r="B1514" t="str">
            <v>1204-5YY0012EN</v>
          </cell>
          <cell r="C1514" t="str">
            <v>M19</v>
          </cell>
        </row>
        <row r="1515">
          <cell r="B1515" t="str">
            <v>1206-5YY0002/MX</v>
          </cell>
          <cell r="C1515" t="str">
            <v>M19</v>
          </cell>
        </row>
        <row r="1516">
          <cell r="B1516" t="str">
            <v>1209-5YY0191-T2</v>
          </cell>
          <cell r="C1516" t="str">
            <v>M19</v>
          </cell>
        </row>
        <row r="1517">
          <cell r="B1517" t="str">
            <v>1209-5YY0192-T2EN</v>
          </cell>
          <cell r="C1517" t="str">
            <v>M19</v>
          </cell>
        </row>
        <row r="1518">
          <cell r="B1518" t="str">
            <v>1209-5YY0193-T2</v>
          </cell>
          <cell r="C1518" t="str">
            <v>M19</v>
          </cell>
        </row>
        <row r="1519">
          <cell r="B1519" t="str">
            <v>1209-5YY0205-T2EN</v>
          </cell>
          <cell r="C1519" t="str">
            <v>M19</v>
          </cell>
        </row>
        <row r="1520">
          <cell r="B1520" t="str">
            <v>1209-5YY0223-TKEN</v>
          </cell>
          <cell r="C1520" t="str">
            <v>M19</v>
          </cell>
        </row>
        <row r="1521">
          <cell r="B1521" t="str">
            <v>1209-5YY0224-TKEN</v>
          </cell>
          <cell r="C1521" t="str">
            <v>M19</v>
          </cell>
        </row>
        <row r="1522">
          <cell r="B1522" t="str">
            <v>1209-5YY0250-T2EN</v>
          </cell>
          <cell r="C1522" t="str">
            <v>M19</v>
          </cell>
        </row>
        <row r="1523">
          <cell r="B1523" t="str">
            <v>1209-5YY0500-T2EN</v>
          </cell>
          <cell r="C1523" t="str">
            <v>M19</v>
          </cell>
        </row>
        <row r="1524">
          <cell r="B1524" t="str">
            <v>1210-5YY0053</v>
          </cell>
          <cell r="C1524" t="str">
            <v>M19</v>
          </cell>
        </row>
        <row r="1525">
          <cell r="B1525" t="str">
            <v>1209-5YY0234-T2EN</v>
          </cell>
          <cell r="C1525" t="str">
            <v>M19</v>
          </cell>
        </row>
        <row r="1526">
          <cell r="B1526" t="str">
            <v>1209-5YY0235-T2EN</v>
          </cell>
          <cell r="C1526" t="str">
            <v>M19</v>
          </cell>
        </row>
        <row r="1527">
          <cell r="B1527" t="str">
            <v>1210-5YY0062</v>
          </cell>
          <cell r="C1527" t="str">
            <v>M19</v>
          </cell>
        </row>
        <row r="1528">
          <cell r="B1528" t="str">
            <v>1220-5YY0012</v>
          </cell>
          <cell r="C1528" t="str">
            <v>M19</v>
          </cell>
        </row>
        <row r="1529">
          <cell r="B1529" t="str">
            <v>1220-5YY0024EN</v>
          </cell>
          <cell r="C1529" t="str">
            <v>M19</v>
          </cell>
        </row>
        <row r="1530">
          <cell r="B1530" t="str">
            <v>1220-5YY0030EN</v>
          </cell>
          <cell r="C1530" t="str">
            <v>M19</v>
          </cell>
        </row>
        <row r="1531">
          <cell r="B1531" t="str">
            <v>1238-5YY0053/MX</v>
          </cell>
          <cell r="C1531" t="str">
            <v>M19</v>
          </cell>
        </row>
        <row r="1532">
          <cell r="B1532" t="str">
            <v>1238-5YY0054/MX</v>
          </cell>
          <cell r="C1532" t="str">
            <v>M19</v>
          </cell>
        </row>
        <row r="1533">
          <cell r="B1533" t="str">
            <v>1238-5YY0055/MX</v>
          </cell>
          <cell r="C1533" t="str">
            <v>M19</v>
          </cell>
        </row>
        <row r="1534">
          <cell r="B1534" t="str">
            <v>1238-5YY0056/MX</v>
          </cell>
          <cell r="C1534" t="str">
            <v>M19</v>
          </cell>
        </row>
        <row r="1535">
          <cell r="B1535" t="str">
            <v>1238-5YY0059/MX</v>
          </cell>
          <cell r="C1535" t="str">
            <v>M19</v>
          </cell>
        </row>
        <row r="1536">
          <cell r="B1536" t="str">
            <v>1238-5YY0074/MX</v>
          </cell>
          <cell r="C1536" t="str">
            <v>M19</v>
          </cell>
        </row>
        <row r="1537">
          <cell r="B1537" t="str">
            <v>1238-5YY0075/MX</v>
          </cell>
          <cell r="C1537" t="str">
            <v>M19</v>
          </cell>
        </row>
        <row r="1538">
          <cell r="B1538" t="str">
            <v>1238-5YY0076/MX</v>
          </cell>
          <cell r="C1538" t="str">
            <v>M19</v>
          </cell>
        </row>
        <row r="1539">
          <cell r="B1539" t="str">
            <v>1238-5YY0077/MX</v>
          </cell>
          <cell r="C1539" t="str">
            <v>M19</v>
          </cell>
        </row>
        <row r="1540">
          <cell r="B1540" t="str">
            <v>1238-5YY0096/MX</v>
          </cell>
          <cell r="C1540" t="str">
            <v>M19</v>
          </cell>
        </row>
        <row r="1541">
          <cell r="B1541" t="str">
            <v>1238-5YY0097/MX</v>
          </cell>
          <cell r="C1541" t="str">
            <v>M19</v>
          </cell>
        </row>
        <row r="1542">
          <cell r="B1542" t="str">
            <v>1238-5YY0098/MX</v>
          </cell>
          <cell r="C1542" t="str">
            <v>M19</v>
          </cell>
        </row>
        <row r="1543">
          <cell r="B1543" t="str">
            <v>1238-5YY0099/MX</v>
          </cell>
          <cell r="C1543" t="str">
            <v>M19</v>
          </cell>
        </row>
        <row r="1544">
          <cell r="B1544" t="str">
            <v>1238-5YY0102/MX</v>
          </cell>
          <cell r="C1544" t="str">
            <v>M19</v>
          </cell>
        </row>
        <row r="1545">
          <cell r="B1545" t="str">
            <v>1238-5YY0108/MX</v>
          </cell>
          <cell r="C1545" t="str">
            <v>M19</v>
          </cell>
        </row>
        <row r="1546">
          <cell r="B1546" t="str">
            <v>1238-5YY0109/MX</v>
          </cell>
          <cell r="C1546" t="str">
            <v>M19</v>
          </cell>
        </row>
        <row r="1547">
          <cell r="B1547" t="str">
            <v>1238-5YY0110</v>
          </cell>
          <cell r="C1547" t="str">
            <v>M19</v>
          </cell>
        </row>
        <row r="1548">
          <cell r="B1548" t="str">
            <v>1238-5YY0116</v>
          </cell>
          <cell r="C1548" t="str">
            <v>M19</v>
          </cell>
        </row>
        <row r="1549">
          <cell r="B1549" t="str">
            <v>1238-5YY0116/MX</v>
          </cell>
          <cell r="C1549" t="str">
            <v>M19</v>
          </cell>
        </row>
        <row r="1550">
          <cell r="B1550" t="str">
            <v>1238-5YY0117/MX</v>
          </cell>
          <cell r="C1550" t="str">
            <v>M19</v>
          </cell>
        </row>
        <row r="1551">
          <cell r="B1551" t="str">
            <v>1238-5YY0118</v>
          </cell>
          <cell r="C1551" t="str">
            <v>M19</v>
          </cell>
        </row>
        <row r="1552">
          <cell r="B1552" t="str">
            <v>1238-5YY0118/MX</v>
          </cell>
          <cell r="C1552" t="str">
            <v>M19</v>
          </cell>
        </row>
        <row r="1553">
          <cell r="B1553" t="str">
            <v>1238-5YY0119/MX</v>
          </cell>
          <cell r="C1553" t="str">
            <v>M19</v>
          </cell>
        </row>
        <row r="1554">
          <cell r="B1554" t="str">
            <v>1238-5YY0120/MX</v>
          </cell>
          <cell r="C1554" t="str">
            <v>M19</v>
          </cell>
        </row>
        <row r="1555">
          <cell r="B1555" t="str">
            <v>1238-5YY0124/MX</v>
          </cell>
          <cell r="C1555" t="str">
            <v>M19</v>
          </cell>
        </row>
        <row r="1556">
          <cell r="B1556" t="str">
            <v>1238-5YY0125/MX</v>
          </cell>
          <cell r="C1556" t="str">
            <v>M19</v>
          </cell>
        </row>
        <row r="1557">
          <cell r="B1557" t="str">
            <v>1238-5YY0126/MX</v>
          </cell>
          <cell r="C1557" t="str">
            <v>M19</v>
          </cell>
        </row>
        <row r="1558">
          <cell r="B1558" t="str">
            <v>1238-5YY0132/MX</v>
          </cell>
          <cell r="C1558" t="str">
            <v>M19</v>
          </cell>
        </row>
        <row r="1559">
          <cell r="B1559" t="str">
            <v>1238-5YY0142/MX</v>
          </cell>
          <cell r="C1559" t="str">
            <v>M19</v>
          </cell>
        </row>
        <row r="1560">
          <cell r="B1560" t="str">
            <v>1238-5YY0168/MX</v>
          </cell>
          <cell r="C1560" t="str">
            <v>M19</v>
          </cell>
        </row>
        <row r="1561">
          <cell r="B1561" t="str">
            <v>1238-5YY0170/MX</v>
          </cell>
          <cell r="C1561" t="str">
            <v>M19</v>
          </cell>
        </row>
        <row r="1562">
          <cell r="B1562" t="str">
            <v>1238-5YY0172/MX</v>
          </cell>
          <cell r="C1562" t="str">
            <v>M19</v>
          </cell>
        </row>
        <row r="1563">
          <cell r="B1563" t="str">
            <v>1238-5YY0178</v>
          </cell>
          <cell r="C1563" t="str">
            <v>M19</v>
          </cell>
        </row>
        <row r="1564">
          <cell r="B1564" t="str">
            <v>1238-5YY0180/MX</v>
          </cell>
          <cell r="C1564" t="str">
            <v>M19</v>
          </cell>
        </row>
        <row r="1565">
          <cell r="B1565" t="str">
            <v>1238-5YY0181/MX</v>
          </cell>
          <cell r="C1565" t="str">
            <v>M19</v>
          </cell>
        </row>
        <row r="1566">
          <cell r="B1566" t="str">
            <v>1238-5YY0189/MX</v>
          </cell>
          <cell r="C1566" t="str">
            <v>M19</v>
          </cell>
        </row>
        <row r="1567">
          <cell r="B1567" t="str">
            <v>1238-5YY0190/MX</v>
          </cell>
          <cell r="C1567" t="str">
            <v>M19</v>
          </cell>
        </row>
        <row r="1568">
          <cell r="B1568" t="str">
            <v>1238-5YY0192/MX</v>
          </cell>
          <cell r="C1568" t="str">
            <v>M19</v>
          </cell>
        </row>
        <row r="1569">
          <cell r="B1569" t="str">
            <v>1238-5YY0206/MX</v>
          </cell>
          <cell r="C1569" t="str">
            <v>M19</v>
          </cell>
        </row>
        <row r="1570">
          <cell r="B1570" t="str">
            <v>1238-5YY0207/MX</v>
          </cell>
          <cell r="C1570" t="str">
            <v>M19</v>
          </cell>
        </row>
        <row r="1571">
          <cell r="B1571" t="str">
            <v>1238-5YY0210</v>
          </cell>
          <cell r="C1571" t="str">
            <v>M19</v>
          </cell>
        </row>
        <row r="1572">
          <cell r="B1572" t="str">
            <v>1238-5YY0212/MX</v>
          </cell>
          <cell r="C1572" t="str">
            <v>M19</v>
          </cell>
        </row>
        <row r="1573">
          <cell r="B1573" t="str">
            <v>1238-5YY0225</v>
          </cell>
          <cell r="C1573" t="str">
            <v>M19</v>
          </cell>
        </row>
        <row r="1574">
          <cell r="B1574" t="str">
            <v>1238-5YY0227/MX</v>
          </cell>
          <cell r="C1574" t="str">
            <v>M19</v>
          </cell>
        </row>
        <row r="1575">
          <cell r="B1575" t="str">
            <v>1238-5YY0247</v>
          </cell>
          <cell r="C1575" t="str">
            <v>M19</v>
          </cell>
        </row>
        <row r="1576">
          <cell r="B1576" t="str">
            <v>1238-5YY0261</v>
          </cell>
          <cell r="C1576" t="str">
            <v>M19</v>
          </cell>
        </row>
        <row r="1577">
          <cell r="B1577" t="str">
            <v>1238-5YY0263</v>
          </cell>
          <cell r="C1577" t="str">
            <v>M19</v>
          </cell>
        </row>
        <row r="1578">
          <cell r="B1578" t="str">
            <v>1238-5YY0264</v>
          </cell>
          <cell r="C1578" t="str">
            <v>M19</v>
          </cell>
        </row>
        <row r="1579">
          <cell r="B1579" t="str">
            <v>1238-5YY0265</v>
          </cell>
          <cell r="C1579" t="str">
            <v>M19</v>
          </cell>
        </row>
        <row r="1580">
          <cell r="B1580" t="str">
            <v>1238-5YY0266</v>
          </cell>
          <cell r="C1580" t="str">
            <v>M19</v>
          </cell>
        </row>
        <row r="1581">
          <cell r="B1581" t="str">
            <v>1238-5YY0268</v>
          </cell>
          <cell r="C1581" t="str">
            <v>M19</v>
          </cell>
        </row>
        <row r="1582">
          <cell r="B1582" t="str">
            <v>1238-5YY0269</v>
          </cell>
          <cell r="C1582" t="str">
            <v>M19</v>
          </cell>
        </row>
        <row r="1583">
          <cell r="B1583" t="str">
            <v>1238-5YY0270</v>
          </cell>
          <cell r="C1583" t="str">
            <v>M19</v>
          </cell>
        </row>
        <row r="1584">
          <cell r="B1584" t="str">
            <v>1238-5YY0271</v>
          </cell>
          <cell r="C1584" t="str">
            <v>M19</v>
          </cell>
        </row>
        <row r="1585">
          <cell r="B1585" t="str">
            <v>1238-5YY0275</v>
          </cell>
          <cell r="C1585" t="str">
            <v>M19</v>
          </cell>
        </row>
        <row r="1586">
          <cell r="B1586" t="str">
            <v>1238-5YY0276</v>
          </cell>
          <cell r="C1586" t="str">
            <v>M19</v>
          </cell>
        </row>
        <row r="1587">
          <cell r="B1587" t="str">
            <v>1238-5YY0287</v>
          </cell>
          <cell r="C1587" t="str">
            <v>M19</v>
          </cell>
        </row>
        <row r="1588">
          <cell r="B1588" t="str">
            <v>1238-5YY0294</v>
          </cell>
          <cell r="C1588" t="str">
            <v>M19</v>
          </cell>
        </row>
        <row r="1589">
          <cell r="B1589" t="str">
            <v>1238-5YY0300</v>
          </cell>
          <cell r="C1589" t="str">
            <v>M19</v>
          </cell>
        </row>
        <row r="1590">
          <cell r="B1590" t="str">
            <v>1238-5YY0339</v>
          </cell>
          <cell r="C1590" t="str">
            <v>M19</v>
          </cell>
        </row>
        <row r="1591">
          <cell r="B1591" t="str">
            <v>1238-5YY0348</v>
          </cell>
          <cell r="C1591" t="str">
            <v>M19</v>
          </cell>
        </row>
        <row r="1592">
          <cell r="B1592" t="str">
            <v>1238-5YY0350</v>
          </cell>
          <cell r="C1592" t="str">
            <v>M19</v>
          </cell>
        </row>
        <row r="1593">
          <cell r="B1593" t="str">
            <v>1250-5YY0031EN</v>
          </cell>
          <cell r="C1593" t="str">
            <v>M19</v>
          </cell>
        </row>
        <row r="1594">
          <cell r="B1594" t="str">
            <v>1251-5YY0062/MX</v>
          </cell>
          <cell r="C1594" t="str">
            <v>M19</v>
          </cell>
        </row>
        <row r="1595">
          <cell r="B1595" t="str">
            <v>1252-5YY0071EN</v>
          </cell>
          <cell r="C1595" t="str">
            <v>M19</v>
          </cell>
        </row>
        <row r="1596">
          <cell r="B1596" t="str">
            <v>1252-5YY0073EN</v>
          </cell>
          <cell r="C1596" t="str">
            <v>M19</v>
          </cell>
        </row>
        <row r="1597">
          <cell r="B1597" t="str">
            <v>1254-5YY0002EN</v>
          </cell>
          <cell r="C1597" t="str">
            <v>M19</v>
          </cell>
        </row>
        <row r="1598">
          <cell r="B1598" t="str">
            <v>1257-5YY0163/MX</v>
          </cell>
          <cell r="C1598" t="str">
            <v>M19</v>
          </cell>
        </row>
        <row r="1599">
          <cell r="B1599" t="str">
            <v>1257-5YY0165/MX</v>
          </cell>
          <cell r="C1599" t="str">
            <v>M19</v>
          </cell>
        </row>
        <row r="1600">
          <cell r="B1600" t="str">
            <v>1257-5YY0174EN</v>
          </cell>
          <cell r="C1600" t="str">
            <v>M19</v>
          </cell>
        </row>
        <row r="1601">
          <cell r="B1601" t="str">
            <v>1267-5YY0040</v>
          </cell>
          <cell r="C1601" t="str">
            <v>M19</v>
          </cell>
        </row>
        <row r="1602">
          <cell r="B1602" t="str">
            <v>1267-5YY0040EN</v>
          </cell>
          <cell r="C1602" t="str">
            <v>M19</v>
          </cell>
        </row>
        <row r="1603">
          <cell r="B1603" t="str">
            <v>1271-5YY0034/MX</v>
          </cell>
          <cell r="C1603" t="str">
            <v>M19</v>
          </cell>
        </row>
        <row r="1604">
          <cell r="B1604" t="str">
            <v>1271-5YY0040EN</v>
          </cell>
          <cell r="C1604" t="str">
            <v>M19</v>
          </cell>
        </row>
        <row r="1605">
          <cell r="B1605" t="str">
            <v>1271-5YY0045/MX</v>
          </cell>
          <cell r="C1605" t="str">
            <v>M19</v>
          </cell>
        </row>
        <row r="1606">
          <cell r="B1606" t="str">
            <v>1271-5YY0046</v>
          </cell>
          <cell r="C1606" t="str">
            <v>M19</v>
          </cell>
        </row>
        <row r="1607">
          <cell r="B1607" t="str">
            <v>1271-5YY0048/MX</v>
          </cell>
          <cell r="C1607" t="str">
            <v>M19</v>
          </cell>
        </row>
        <row r="1608">
          <cell r="B1608" t="str">
            <v>1271-5YY0050EN</v>
          </cell>
          <cell r="C1608" t="str">
            <v>M19</v>
          </cell>
        </row>
        <row r="1609">
          <cell r="B1609" t="str">
            <v>1271-5YY0052/MX</v>
          </cell>
          <cell r="C1609" t="str">
            <v>M19</v>
          </cell>
        </row>
        <row r="1610">
          <cell r="B1610" t="str">
            <v>1271-5YY0062-21/MX</v>
          </cell>
          <cell r="C1610" t="str">
            <v>M19</v>
          </cell>
        </row>
        <row r="1611">
          <cell r="B1611" t="str">
            <v>1271-5YY0070/MX</v>
          </cell>
          <cell r="C1611" t="str">
            <v>M19</v>
          </cell>
        </row>
        <row r="1612">
          <cell r="B1612" t="str">
            <v>1271-5YY0097</v>
          </cell>
          <cell r="C1612" t="str">
            <v>M19</v>
          </cell>
        </row>
        <row r="1613">
          <cell r="B1613" t="str">
            <v>1271-5YY0098EN</v>
          </cell>
          <cell r="C1613" t="str">
            <v>M19</v>
          </cell>
        </row>
        <row r="1614">
          <cell r="B1614" t="str">
            <v>1271-5YY0099EN</v>
          </cell>
          <cell r="C1614" t="str">
            <v>M19</v>
          </cell>
        </row>
        <row r="1615">
          <cell r="B1615" t="str">
            <v>1271-5YY0100EN</v>
          </cell>
          <cell r="C1615" t="str">
            <v>M19</v>
          </cell>
        </row>
        <row r="1616">
          <cell r="B1616" t="str">
            <v>1271-5YY0101</v>
          </cell>
          <cell r="C1616" t="str">
            <v>M19</v>
          </cell>
        </row>
        <row r="1617">
          <cell r="B1617" t="str">
            <v>1271-5YY0102</v>
          </cell>
          <cell r="C1617" t="str">
            <v>M19</v>
          </cell>
        </row>
        <row r="1618">
          <cell r="B1618" t="str">
            <v>1271-5YY0103EN</v>
          </cell>
          <cell r="C1618" t="str">
            <v>M19</v>
          </cell>
        </row>
        <row r="1619">
          <cell r="B1619" t="str">
            <v>1274-5YY0342/MX</v>
          </cell>
          <cell r="C1619" t="str">
            <v>M19</v>
          </cell>
        </row>
        <row r="1620">
          <cell r="B1620" t="str">
            <v>1274-5YY0344/MX</v>
          </cell>
          <cell r="C1620" t="str">
            <v>M19</v>
          </cell>
        </row>
        <row r="1621">
          <cell r="B1621" t="str">
            <v>1274-5YY0345/MX</v>
          </cell>
          <cell r="C1621" t="str">
            <v>M19</v>
          </cell>
        </row>
        <row r="1622">
          <cell r="B1622" t="str">
            <v>1274-5YY0351/MX</v>
          </cell>
          <cell r="C1622" t="str">
            <v>M19</v>
          </cell>
        </row>
        <row r="1623">
          <cell r="B1623" t="str">
            <v>1274-5YY0356/MX</v>
          </cell>
          <cell r="C1623" t="str">
            <v>M19</v>
          </cell>
        </row>
        <row r="1624">
          <cell r="B1624" t="str">
            <v>1274-5YY0358/MX</v>
          </cell>
          <cell r="C1624" t="str">
            <v>M19</v>
          </cell>
        </row>
        <row r="1625">
          <cell r="B1625" t="str">
            <v>1274-5YY0360/MX</v>
          </cell>
          <cell r="C1625" t="str">
            <v>M19</v>
          </cell>
        </row>
        <row r="1626">
          <cell r="B1626" t="str">
            <v>1274-5YY0364/MX</v>
          </cell>
          <cell r="C1626" t="str">
            <v>M19</v>
          </cell>
        </row>
        <row r="1627">
          <cell r="B1627" t="str">
            <v>1274-5YY0457</v>
          </cell>
          <cell r="C1627" t="str">
            <v>M19</v>
          </cell>
        </row>
        <row r="1628">
          <cell r="B1628" t="str">
            <v>1274-5yy0360</v>
          </cell>
          <cell r="C1628" t="str">
            <v>M19</v>
          </cell>
        </row>
        <row r="1629">
          <cell r="B1629" t="str">
            <v>1275-5YY0276</v>
          </cell>
          <cell r="C1629" t="str">
            <v>M19</v>
          </cell>
        </row>
        <row r="1630">
          <cell r="B1630" t="str">
            <v>1275-5YY0279</v>
          </cell>
          <cell r="C1630" t="str">
            <v>M19</v>
          </cell>
        </row>
        <row r="1631">
          <cell r="B1631" t="str">
            <v>1275-5YY0297</v>
          </cell>
          <cell r="C1631" t="str">
            <v>M19</v>
          </cell>
        </row>
        <row r="1632">
          <cell r="B1632" t="str">
            <v>1275-5YY0298</v>
          </cell>
          <cell r="C1632" t="str">
            <v>M19</v>
          </cell>
        </row>
        <row r="1633">
          <cell r="B1633" t="str">
            <v>1275-5YY0324</v>
          </cell>
          <cell r="C1633" t="str">
            <v>M19</v>
          </cell>
        </row>
        <row r="1634">
          <cell r="B1634" t="str">
            <v>1275-5YY0333</v>
          </cell>
          <cell r="C1634" t="str">
            <v>M19</v>
          </cell>
        </row>
        <row r="1635">
          <cell r="B1635" t="str">
            <v>1275-5YY0349</v>
          </cell>
          <cell r="C1635" t="str">
            <v>M19</v>
          </cell>
        </row>
        <row r="1636">
          <cell r="B1636" t="str">
            <v>1275-5YY0352EN</v>
          </cell>
          <cell r="C1636" t="str">
            <v>M19</v>
          </cell>
        </row>
        <row r="1637">
          <cell r="B1637" t="str">
            <v>1275-5YY0355EN</v>
          </cell>
          <cell r="C1637" t="str">
            <v>M19</v>
          </cell>
        </row>
        <row r="1638">
          <cell r="B1638" t="str">
            <v>1275-5YY0358EN</v>
          </cell>
          <cell r="C1638" t="str">
            <v>M19</v>
          </cell>
        </row>
        <row r="1639">
          <cell r="B1639" t="str">
            <v>1275-5YY0363</v>
          </cell>
          <cell r="C1639" t="str">
            <v>M19</v>
          </cell>
        </row>
        <row r="1640">
          <cell r="B1640" t="str">
            <v>1275-5YY0363EN</v>
          </cell>
          <cell r="C1640" t="str">
            <v>M19</v>
          </cell>
        </row>
        <row r="1641">
          <cell r="B1641" t="str">
            <v>1275-5YY0382</v>
          </cell>
          <cell r="C1641" t="str">
            <v>M19</v>
          </cell>
        </row>
        <row r="1642">
          <cell r="B1642" t="str">
            <v>1275-5YY0397</v>
          </cell>
          <cell r="C1642" t="str">
            <v>M19</v>
          </cell>
        </row>
        <row r="1643">
          <cell r="B1643" t="str">
            <v>1275-5YY0408</v>
          </cell>
          <cell r="C1643" t="str">
            <v>M19</v>
          </cell>
        </row>
        <row r="1644">
          <cell r="B1644" t="str">
            <v>1275-5YY0461</v>
          </cell>
          <cell r="C1644" t="str">
            <v>M19</v>
          </cell>
        </row>
        <row r="1645">
          <cell r="B1645" t="str">
            <v>1275-5YY0508</v>
          </cell>
          <cell r="C1645" t="str">
            <v>M19</v>
          </cell>
        </row>
        <row r="1646">
          <cell r="B1646" t="str">
            <v>1275-5YY0509</v>
          </cell>
          <cell r="C1646" t="str">
            <v>M19</v>
          </cell>
        </row>
        <row r="1647">
          <cell r="B1647" t="str">
            <v>1275-5YY0517</v>
          </cell>
          <cell r="C1647" t="str">
            <v>M19</v>
          </cell>
        </row>
        <row r="1648">
          <cell r="B1648" t="str">
            <v>1275-5YY0539</v>
          </cell>
          <cell r="C1648" t="str">
            <v>M19</v>
          </cell>
        </row>
        <row r="1649">
          <cell r="B1649" t="str">
            <v>1275-5YY0540</v>
          </cell>
          <cell r="C1649" t="str">
            <v>M19</v>
          </cell>
        </row>
        <row r="1650">
          <cell r="B1650" t="str">
            <v>1275-5YY0551EN</v>
          </cell>
          <cell r="C1650" t="str">
            <v>M19</v>
          </cell>
        </row>
        <row r="1651">
          <cell r="B1651" t="str">
            <v>1275-5YY0561EN</v>
          </cell>
          <cell r="C1651" t="str">
            <v>M19</v>
          </cell>
        </row>
        <row r="1652">
          <cell r="B1652" t="str">
            <v>1275-5YY0564EN</v>
          </cell>
          <cell r="C1652" t="str">
            <v>M19</v>
          </cell>
        </row>
        <row r="1653">
          <cell r="B1653" t="str">
            <v>1275-5YY0566EN</v>
          </cell>
          <cell r="C1653" t="str">
            <v>M19</v>
          </cell>
        </row>
        <row r="1654">
          <cell r="B1654" t="str">
            <v>1275-5YY0568EN</v>
          </cell>
          <cell r="C1654" t="str">
            <v>M19</v>
          </cell>
        </row>
        <row r="1655">
          <cell r="B1655" t="str">
            <v>1275-5YY0573EN</v>
          </cell>
          <cell r="C1655" t="str">
            <v>M19</v>
          </cell>
        </row>
        <row r="1656">
          <cell r="B1656" t="str">
            <v>1275-5YY0594</v>
          </cell>
          <cell r="C1656" t="str">
            <v>M19</v>
          </cell>
        </row>
        <row r="1657">
          <cell r="B1657" t="str">
            <v>1275-5YY0619</v>
          </cell>
          <cell r="C1657" t="str">
            <v>M19</v>
          </cell>
        </row>
        <row r="1658">
          <cell r="B1658" t="str">
            <v>1275-5YY0644EN</v>
          </cell>
          <cell r="C1658" t="str">
            <v>M19</v>
          </cell>
        </row>
        <row r="1659">
          <cell r="B1659" t="str">
            <v>1275-5YY0653EN</v>
          </cell>
          <cell r="C1659" t="str">
            <v>M19</v>
          </cell>
        </row>
        <row r="1660">
          <cell r="B1660" t="str">
            <v>1275-5YY0677EN</v>
          </cell>
          <cell r="C1660" t="str">
            <v>M19</v>
          </cell>
        </row>
        <row r="1661">
          <cell r="B1661" t="str">
            <v>1275-5YY0685EN</v>
          </cell>
          <cell r="C1661" t="str">
            <v>M19</v>
          </cell>
        </row>
        <row r="1662">
          <cell r="B1662" t="str">
            <v>1275-5YY0687EN</v>
          </cell>
          <cell r="C1662" t="str">
            <v>M19</v>
          </cell>
        </row>
        <row r="1663">
          <cell r="B1663" t="str">
            <v>1275-5YY0696EN</v>
          </cell>
          <cell r="C1663" t="str">
            <v>M19</v>
          </cell>
        </row>
        <row r="1664">
          <cell r="B1664" t="str">
            <v>1275-5YY0770EN</v>
          </cell>
          <cell r="C1664" t="str">
            <v>M19</v>
          </cell>
        </row>
        <row r="1665">
          <cell r="B1665" t="str">
            <v>1275-5YY0774</v>
          </cell>
          <cell r="C1665" t="str">
            <v>M19</v>
          </cell>
        </row>
        <row r="1666">
          <cell r="B1666" t="str">
            <v>1275-5YY0783EN</v>
          </cell>
          <cell r="C1666" t="str">
            <v>M19</v>
          </cell>
        </row>
        <row r="1667">
          <cell r="B1667" t="str">
            <v>1275-5YY0787EN</v>
          </cell>
          <cell r="C1667" t="str">
            <v>M19</v>
          </cell>
        </row>
        <row r="1668">
          <cell r="B1668" t="str">
            <v>1275-5YY0792</v>
          </cell>
          <cell r="C1668" t="str">
            <v>M19</v>
          </cell>
        </row>
        <row r="1669">
          <cell r="B1669" t="str">
            <v>1275-5YY0793</v>
          </cell>
          <cell r="C1669" t="str">
            <v>M19</v>
          </cell>
        </row>
        <row r="1670">
          <cell r="B1670" t="str">
            <v>1275-5YY0819</v>
          </cell>
          <cell r="C1670" t="str">
            <v>M19</v>
          </cell>
        </row>
        <row r="1671">
          <cell r="B1671" t="str">
            <v>1275-5YY0879EN</v>
          </cell>
          <cell r="C1671" t="str">
            <v>M19</v>
          </cell>
        </row>
        <row r="1672">
          <cell r="B1672" t="str">
            <v>1275-5YY0974EN</v>
          </cell>
          <cell r="C1672" t="str">
            <v>M19</v>
          </cell>
        </row>
        <row r="1673">
          <cell r="B1673" t="str">
            <v>1275-5YY0976EN</v>
          </cell>
          <cell r="C1673" t="str">
            <v>M19</v>
          </cell>
        </row>
        <row r="1674">
          <cell r="B1674" t="str">
            <v>1277-5YY0077/MX</v>
          </cell>
          <cell r="C1674" t="str">
            <v>M19</v>
          </cell>
        </row>
        <row r="1675">
          <cell r="B1675" t="str">
            <v>1277-5YY0077EN</v>
          </cell>
          <cell r="C1675" t="str">
            <v>M19</v>
          </cell>
        </row>
        <row r="1676">
          <cell r="B1676" t="str">
            <v>1277-5YY0137EN</v>
          </cell>
          <cell r="C1676" t="str">
            <v>M19</v>
          </cell>
        </row>
        <row r="1677">
          <cell r="B1677" t="str">
            <v>1278-5YY0022</v>
          </cell>
          <cell r="C1677" t="str">
            <v>M19</v>
          </cell>
        </row>
        <row r="1678">
          <cell r="B1678" t="str">
            <v>1288-5YY0102/MX</v>
          </cell>
          <cell r="C1678" t="str">
            <v>M19</v>
          </cell>
        </row>
        <row r="1679">
          <cell r="B1679" t="str">
            <v>1288-5YY0103/MX</v>
          </cell>
          <cell r="C1679" t="str">
            <v>M19</v>
          </cell>
        </row>
        <row r="1680">
          <cell r="B1680" t="str">
            <v>1288-5YY0104</v>
          </cell>
          <cell r="C1680" t="str">
            <v>M19</v>
          </cell>
        </row>
        <row r="1681">
          <cell r="B1681" t="str">
            <v>1288-5YY0104EN</v>
          </cell>
          <cell r="C1681" t="str">
            <v>M19</v>
          </cell>
        </row>
        <row r="1682">
          <cell r="B1682" t="str">
            <v>1288-5YY0110/MX</v>
          </cell>
          <cell r="C1682" t="str">
            <v>M19</v>
          </cell>
        </row>
        <row r="1683">
          <cell r="B1683" t="str">
            <v>1293-5YY0017</v>
          </cell>
          <cell r="C1683" t="str">
            <v>M19</v>
          </cell>
        </row>
        <row r="1684">
          <cell r="B1684" t="str">
            <v>1293-5YY0018/MX</v>
          </cell>
          <cell r="C1684" t="str">
            <v>M19</v>
          </cell>
        </row>
        <row r="1685">
          <cell r="B1685" t="str">
            <v>1293-5YY0019</v>
          </cell>
          <cell r="C1685" t="str">
            <v>M19</v>
          </cell>
        </row>
        <row r="1686">
          <cell r="B1686" t="str">
            <v>1293-5YY0019EN</v>
          </cell>
          <cell r="C1686" t="str">
            <v>M19</v>
          </cell>
        </row>
        <row r="1687">
          <cell r="B1687" t="str">
            <v>1293-5YY0025/MX</v>
          </cell>
          <cell r="C1687" t="str">
            <v>M19</v>
          </cell>
        </row>
        <row r="1688">
          <cell r="B1688" t="str">
            <v>1293-5YY0027/MX</v>
          </cell>
          <cell r="C1688" t="str">
            <v>M19</v>
          </cell>
        </row>
        <row r="1689">
          <cell r="B1689" t="str">
            <v>1293-5YY0028/MX</v>
          </cell>
          <cell r="C1689" t="str">
            <v>M19</v>
          </cell>
        </row>
        <row r="1690">
          <cell r="B1690" t="str">
            <v>1293-5YY0033</v>
          </cell>
          <cell r="C1690" t="str">
            <v>M19</v>
          </cell>
        </row>
        <row r="1691">
          <cell r="B1691" t="str">
            <v>1293-5YY0036/MX</v>
          </cell>
          <cell r="C1691" t="str">
            <v>M19</v>
          </cell>
        </row>
        <row r="1692">
          <cell r="B1692" t="str">
            <v>1293-5YY0038/MX</v>
          </cell>
          <cell r="C1692" t="str">
            <v>M19</v>
          </cell>
        </row>
        <row r="1693">
          <cell r="B1693" t="str">
            <v>1293-5YY0042/MX</v>
          </cell>
          <cell r="C1693" t="str">
            <v>M19</v>
          </cell>
        </row>
        <row r="1694">
          <cell r="B1694" t="str">
            <v>1293-5YY0051EN</v>
          </cell>
          <cell r="C1694" t="str">
            <v>M19</v>
          </cell>
        </row>
        <row r="1695">
          <cell r="B1695" t="str">
            <v>1293-5YY0052/MX</v>
          </cell>
          <cell r="C1695" t="str">
            <v>M19</v>
          </cell>
        </row>
        <row r="1696">
          <cell r="B1696" t="str">
            <v>1293-5YY0053/MX</v>
          </cell>
          <cell r="C1696" t="str">
            <v>M19</v>
          </cell>
        </row>
        <row r="1697">
          <cell r="B1697" t="str">
            <v>1293-5YY0054/MX</v>
          </cell>
          <cell r="C1697" t="str">
            <v>M19</v>
          </cell>
        </row>
        <row r="1698">
          <cell r="B1698" t="str">
            <v>1293-5YY0058/MX</v>
          </cell>
          <cell r="C1698" t="str">
            <v>M19</v>
          </cell>
        </row>
        <row r="1699">
          <cell r="B1699" t="str">
            <v>1293-5YY0064/MX</v>
          </cell>
          <cell r="C1699" t="str">
            <v>M19</v>
          </cell>
        </row>
        <row r="1700">
          <cell r="B1700" t="str">
            <v>1293-5YY0065/MX</v>
          </cell>
          <cell r="C1700" t="str">
            <v>M19</v>
          </cell>
        </row>
        <row r="1701">
          <cell r="B1701" t="str">
            <v>1293-5YY0066/MX</v>
          </cell>
          <cell r="C1701" t="str">
            <v>M19</v>
          </cell>
        </row>
        <row r="1702">
          <cell r="B1702" t="str">
            <v>1293-5YY0068/MX</v>
          </cell>
          <cell r="C1702" t="str">
            <v>M19</v>
          </cell>
        </row>
        <row r="1703">
          <cell r="B1703" t="str">
            <v>1293-5YY0069</v>
          </cell>
          <cell r="C1703" t="str">
            <v>M19</v>
          </cell>
        </row>
        <row r="1704">
          <cell r="B1704" t="str">
            <v>1293-5YY0070/MX</v>
          </cell>
          <cell r="C1704" t="str">
            <v>M19</v>
          </cell>
        </row>
        <row r="1705">
          <cell r="B1705" t="str">
            <v>1293-5YY0071/MX</v>
          </cell>
          <cell r="C1705" t="str">
            <v>M19</v>
          </cell>
        </row>
        <row r="1706">
          <cell r="B1706" t="str">
            <v>1293-5YY0072/MX</v>
          </cell>
          <cell r="C1706" t="str">
            <v>M19</v>
          </cell>
        </row>
        <row r="1707">
          <cell r="B1707" t="str">
            <v>1299-5YY0081</v>
          </cell>
          <cell r="C1707" t="str">
            <v>M19</v>
          </cell>
        </row>
        <row r="1708">
          <cell r="B1708" t="str">
            <v>1299-5YY0082</v>
          </cell>
          <cell r="C1708" t="str">
            <v>M19</v>
          </cell>
        </row>
        <row r="1709">
          <cell r="B1709" t="str">
            <v>1299-5YY0084</v>
          </cell>
          <cell r="C1709" t="str">
            <v>M19</v>
          </cell>
        </row>
        <row r="1710">
          <cell r="B1710" t="str">
            <v>1299-5YY0085</v>
          </cell>
          <cell r="C1710" t="str">
            <v>M19</v>
          </cell>
        </row>
        <row r="1711">
          <cell r="B1711" t="str">
            <v>1299-5YY0087</v>
          </cell>
          <cell r="C1711" t="str">
            <v>M19</v>
          </cell>
        </row>
        <row r="1712">
          <cell r="B1712" t="str">
            <v>1299-5YY0089</v>
          </cell>
          <cell r="C1712" t="str">
            <v>M19</v>
          </cell>
        </row>
        <row r="1713">
          <cell r="B1713" t="str">
            <v>1299-5YY0090</v>
          </cell>
          <cell r="C1713" t="str">
            <v>M19</v>
          </cell>
        </row>
        <row r="1714">
          <cell r="B1714" t="str">
            <v>1300-5YY0333/MX</v>
          </cell>
          <cell r="C1714" t="str">
            <v>M19</v>
          </cell>
        </row>
        <row r="1715">
          <cell r="B1715" t="str">
            <v>1300-5YY0336/MX</v>
          </cell>
          <cell r="C1715" t="str">
            <v>M19</v>
          </cell>
        </row>
        <row r="1716">
          <cell r="B1716" t="str">
            <v>1300-5YY0337/MX</v>
          </cell>
          <cell r="C1716" t="str">
            <v>M19</v>
          </cell>
        </row>
        <row r="1717">
          <cell r="B1717" t="str">
            <v>1300-5YY0342/MX</v>
          </cell>
          <cell r="C1717" t="str">
            <v>M19</v>
          </cell>
        </row>
        <row r="1718">
          <cell r="B1718" t="str">
            <v>1300-5YY0350/MX</v>
          </cell>
          <cell r="C1718" t="str">
            <v>M19</v>
          </cell>
        </row>
        <row r="1719">
          <cell r="B1719" t="str">
            <v>1300-5YY0357/MX</v>
          </cell>
          <cell r="C1719" t="str">
            <v>M19</v>
          </cell>
        </row>
        <row r="1720">
          <cell r="B1720" t="str">
            <v>1300-5YY0358/MX</v>
          </cell>
          <cell r="C1720" t="str">
            <v>M19</v>
          </cell>
        </row>
        <row r="1721">
          <cell r="B1721" t="str">
            <v>1300-5YY0363/MX</v>
          </cell>
          <cell r="C1721" t="str">
            <v>M19</v>
          </cell>
        </row>
        <row r="1722">
          <cell r="B1722" t="str">
            <v>1301-5YY0236-02EN</v>
          </cell>
          <cell r="C1722" t="str">
            <v>M19</v>
          </cell>
        </row>
        <row r="1723">
          <cell r="B1723" t="str">
            <v>1301-5YY0236-YCEN</v>
          </cell>
          <cell r="C1723" t="str">
            <v>M19</v>
          </cell>
        </row>
        <row r="1724">
          <cell r="B1724" t="str">
            <v>1301-5YY0239-21END</v>
          </cell>
          <cell r="C1724" t="str">
            <v>M19</v>
          </cell>
        </row>
        <row r="1725">
          <cell r="B1725" t="str">
            <v>1301-5YY0239-YCEN</v>
          </cell>
          <cell r="C1725" t="str">
            <v>M19</v>
          </cell>
        </row>
        <row r="1726">
          <cell r="B1726" t="str">
            <v>1301-5YY0239EN0002</v>
          </cell>
          <cell r="C1726" t="str">
            <v>M19</v>
          </cell>
        </row>
        <row r="1727">
          <cell r="B1727" t="str">
            <v>1301-5YY0241-02EN</v>
          </cell>
          <cell r="C1727" t="str">
            <v>M19</v>
          </cell>
        </row>
        <row r="1728">
          <cell r="B1728" t="str">
            <v>1301-5YY0241-YCEN</v>
          </cell>
          <cell r="C1728" t="str">
            <v>M19</v>
          </cell>
        </row>
        <row r="1729">
          <cell r="B1729" t="str">
            <v>1301-5YY0242-02EN</v>
          </cell>
          <cell r="C1729" t="str">
            <v>M19</v>
          </cell>
        </row>
        <row r="1730">
          <cell r="B1730" t="str">
            <v>1301-5YY0242-YCEN</v>
          </cell>
          <cell r="C1730" t="str">
            <v>M19</v>
          </cell>
        </row>
        <row r="1731">
          <cell r="B1731" t="str">
            <v>1301-5YY0246</v>
          </cell>
          <cell r="C1731" t="str">
            <v>M19</v>
          </cell>
        </row>
        <row r="1732">
          <cell r="B1732" t="str">
            <v>1301-5YY0248</v>
          </cell>
          <cell r="C1732" t="str">
            <v>M19</v>
          </cell>
        </row>
        <row r="1733">
          <cell r="B1733" t="str">
            <v>1301-5YY0251-93/MX</v>
          </cell>
          <cell r="C1733" t="str">
            <v>M19</v>
          </cell>
        </row>
        <row r="1734">
          <cell r="B1734" t="str">
            <v>1301-5YY0251-93EN</v>
          </cell>
          <cell r="C1734" t="str">
            <v>M19</v>
          </cell>
        </row>
        <row r="1735">
          <cell r="B1735" t="str">
            <v>1301-5YY0251EN</v>
          </cell>
          <cell r="C1735" t="str">
            <v>M19</v>
          </cell>
        </row>
        <row r="1736">
          <cell r="B1736" t="str">
            <v>1301-5YY0258/MX</v>
          </cell>
          <cell r="C1736" t="str">
            <v>M19</v>
          </cell>
        </row>
        <row r="1737">
          <cell r="B1737" t="str">
            <v>1301-5YY0273-93EN</v>
          </cell>
          <cell r="C1737" t="str">
            <v>M19</v>
          </cell>
        </row>
        <row r="1738">
          <cell r="B1738" t="str">
            <v>1301-5YY0273EN</v>
          </cell>
          <cell r="C1738" t="str">
            <v>M19</v>
          </cell>
        </row>
        <row r="1739">
          <cell r="B1739" t="str">
            <v>1301-5YY0274-93EN</v>
          </cell>
          <cell r="C1739" t="str">
            <v>M19</v>
          </cell>
        </row>
        <row r="1740">
          <cell r="B1740" t="str">
            <v>1301-5YY0274EN</v>
          </cell>
          <cell r="C1740" t="str">
            <v>M19</v>
          </cell>
        </row>
        <row r="1741">
          <cell r="B1741" t="str">
            <v>1301-5YY0279EN0093</v>
          </cell>
          <cell r="C1741" t="str">
            <v>M19</v>
          </cell>
        </row>
        <row r="1742">
          <cell r="B1742" t="str">
            <v>1301-5YY0305EN0093</v>
          </cell>
          <cell r="C1742" t="str">
            <v>M19</v>
          </cell>
        </row>
        <row r="1743">
          <cell r="B1743" t="str">
            <v>1301-5YY0306EN0093</v>
          </cell>
          <cell r="C1743" t="str">
            <v>M19</v>
          </cell>
        </row>
        <row r="1744">
          <cell r="B1744" t="str">
            <v>1301-5YY0311EN0093</v>
          </cell>
          <cell r="C1744" t="str">
            <v>M19</v>
          </cell>
        </row>
        <row r="1745">
          <cell r="B1745" t="str">
            <v>1301-5YY0322EN0093</v>
          </cell>
          <cell r="C1745" t="str">
            <v>M19</v>
          </cell>
        </row>
        <row r="1746">
          <cell r="B1746" t="str">
            <v>1301-5YY0390EN0093</v>
          </cell>
          <cell r="C1746" t="str">
            <v>M19</v>
          </cell>
        </row>
        <row r="1747">
          <cell r="B1747" t="str">
            <v>1307-5YY0138EN</v>
          </cell>
          <cell r="C1747" t="str">
            <v>M19</v>
          </cell>
        </row>
        <row r="1748">
          <cell r="B1748" t="str">
            <v>1307-5YY0139EN</v>
          </cell>
          <cell r="C1748" t="str">
            <v>M19</v>
          </cell>
        </row>
        <row r="1749">
          <cell r="B1749" t="str">
            <v>1307-5YY0141EN</v>
          </cell>
          <cell r="C1749" t="str">
            <v>M19</v>
          </cell>
        </row>
        <row r="1750">
          <cell r="B1750" t="str">
            <v>1307-5YY0144EN</v>
          </cell>
          <cell r="C1750" t="str">
            <v>M19</v>
          </cell>
        </row>
        <row r="1751">
          <cell r="B1751" t="str">
            <v>1307-5YY0145EN</v>
          </cell>
          <cell r="C1751" t="str">
            <v>M19</v>
          </cell>
        </row>
        <row r="1752">
          <cell r="B1752" t="str">
            <v>1307-5YY0148EN</v>
          </cell>
          <cell r="C1752" t="str">
            <v>M19</v>
          </cell>
        </row>
        <row r="1753">
          <cell r="B1753" t="str">
            <v>1307-5YY0150EN</v>
          </cell>
          <cell r="C1753" t="str">
            <v>M19</v>
          </cell>
        </row>
        <row r="1754">
          <cell r="B1754" t="str">
            <v>1307-5YY0151EN</v>
          </cell>
          <cell r="C1754" t="str">
            <v>M19</v>
          </cell>
        </row>
        <row r="1755">
          <cell r="B1755" t="str">
            <v>1307-5YY0154EN</v>
          </cell>
          <cell r="C1755" t="str">
            <v>M19</v>
          </cell>
        </row>
        <row r="1756">
          <cell r="B1756" t="str">
            <v>1307-5YY0155EN</v>
          </cell>
          <cell r="C1756" t="str">
            <v>M19</v>
          </cell>
        </row>
        <row r="1757">
          <cell r="B1757" t="str">
            <v>1307-5YY0157EN</v>
          </cell>
          <cell r="C1757" t="str">
            <v>M19</v>
          </cell>
        </row>
        <row r="1758">
          <cell r="B1758" t="str">
            <v>1307-5YY0158EN</v>
          </cell>
          <cell r="C1758" t="str">
            <v>M19</v>
          </cell>
        </row>
        <row r="1759">
          <cell r="B1759" t="str">
            <v>1307-5YY0170EN</v>
          </cell>
          <cell r="C1759" t="str">
            <v>M19</v>
          </cell>
        </row>
        <row r="1760">
          <cell r="B1760" t="str">
            <v>1307-5YY0174EN</v>
          </cell>
          <cell r="C1760" t="str">
            <v>M19</v>
          </cell>
        </row>
        <row r="1761">
          <cell r="B1761" t="str">
            <v>1307-5YY0182EN</v>
          </cell>
          <cell r="C1761" t="str">
            <v>M19</v>
          </cell>
        </row>
        <row r="1762">
          <cell r="B1762" t="str">
            <v>1307-5YY0185EN</v>
          </cell>
          <cell r="C1762" t="str">
            <v>M19</v>
          </cell>
        </row>
        <row r="1763">
          <cell r="B1763" t="str">
            <v>1307-5YY0186EN</v>
          </cell>
          <cell r="C1763" t="str">
            <v>M19</v>
          </cell>
        </row>
        <row r="1764">
          <cell r="B1764" t="str">
            <v>1307-5YY0222EN</v>
          </cell>
          <cell r="C1764" t="str">
            <v>M19</v>
          </cell>
        </row>
        <row r="1765">
          <cell r="B1765" t="str">
            <v>1308-5YY0005EN</v>
          </cell>
          <cell r="C1765" t="str">
            <v>M19</v>
          </cell>
        </row>
        <row r="1766">
          <cell r="B1766" t="str">
            <v>1318-1YY0440</v>
          </cell>
          <cell r="C1766" t="str">
            <v>M19</v>
          </cell>
        </row>
        <row r="1767">
          <cell r="B1767" t="str">
            <v>1318-5YY0056EN</v>
          </cell>
          <cell r="C1767" t="str">
            <v>M19</v>
          </cell>
        </row>
        <row r="1768">
          <cell r="B1768" t="str">
            <v>1318-5YY0057EN</v>
          </cell>
          <cell r="C1768" t="str">
            <v>M19</v>
          </cell>
        </row>
        <row r="1769">
          <cell r="B1769" t="str">
            <v>1318-5YY0058</v>
          </cell>
          <cell r="C1769" t="str">
            <v>M19</v>
          </cell>
        </row>
        <row r="1770">
          <cell r="B1770" t="str">
            <v>1318-5YY0058EN</v>
          </cell>
          <cell r="C1770" t="str">
            <v>M19</v>
          </cell>
        </row>
        <row r="1771">
          <cell r="B1771" t="str">
            <v>1318-5YY0060EN</v>
          </cell>
          <cell r="C1771" t="str">
            <v>M19</v>
          </cell>
        </row>
        <row r="1772">
          <cell r="B1772" t="str">
            <v>1318-5YY0069EN</v>
          </cell>
          <cell r="C1772" t="str">
            <v>M19</v>
          </cell>
        </row>
        <row r="1773">
          <cell r="B1773" t="str">
            <v>1318-5YY0070EN</v>
          </cell>
          <cell r="C1773" t="str">
            <v>M19</v>
          </cell>
        </row>
        <row r="1774">
          <cell r="B1774" t="str">
            <v>1318-5YY0073EN</v>
          </cell>
          <cell r="C1774" t="str">
            <v>M19</v>
          </cell>
        </row>
        <row r="1775">
          <cell r="B1775" t="str">
            <v>1318-5YY0094EN</v>
          </cell>
          <cell r="C1775" t="str">
            <v>M19</v>
          </cell>
        </row>
        <row r="1776">
          <cell r="B1776" t="str">
            <v>1321-5YY0028-T2</v>
          </cell>
          <cell r="C1776" t="str">
            <v>M19</v>
          </cell>
        </row>
        <row r="1777">
          <cell r="B1777" t="str">
            <v>1321-5YY0028-T2EN</v>
          </cell>
          <cell r="C1777" t="str">
            <v>M19</v>
          </cell>
        </row>
        <row r="1778">
          <cell r="B1778" t="str">
            <v>1321-5YY0031-T2</v>
          </cell>
          <cell r="C1778" t="str">
            <v>M19</v>
          </cell>
        </row>
        <row r="1779">
          <cell r="B1779" t="str">
            <v>1321-5YY0031-T2AN</v>
          </cell>
          <cell r="C1779" t="str">
            <v>M19</v>
          </cell>
        </row>
        <row r="1780">
          <cell r="B1780" t="str">
            <v>1321-5YY0031-T2EN</v>
          </cell>
          <cell r="C1780" t="str">
            <v>M19</v>
          </cell>
        </row>
        <row r="1781">
          <cell r="B1781" t="str">
            <v>1322-5YY0003EN</v>
          </cell>
          <cell r="C1781" t="str">
            <v>M19</v>
          </cell>
        </row>
        <row r="1782">
          <cell r="B1782" t="str">
            <v>1322-5YY0003EP</v>
          </cell>
          <cell r="C1782" t="str">
            <v>M19</v>
          </cell>
        </row>
        <row r="1783">
          <cell r="B1783" t="str">
            <v>1322-5YY0017/MX</v>
          </cell>
          <cell r="C1783" t="str">
            <v>M19</v>
          </cell>
        </row>
        <row r="1784">
          <cell r="B1784" t="str">
            <v>1322-5YY0020</v>
          </cell>
          <cell r="C1784" t="str">
            <v>M19</v>
          </cell>
        </row>
        <row r="1785">
          <cell r="B1785" t="str">
            <v>1322-5YY0021</v>
          </cell>
          <cell r="C1785" t="str">
            <v>M19</v>
          </cell>
        </row>
        <row r="1786">
          <cell r="B1786" t="str">
            <v>1324-5YY0156/MX</v>
          </cell>
          <cell r="C1786" t="str">
            <v>M19</v>
          </cell>
        </row>
        <row r="1787">
          <cell r="B1787" t="str">
            <v>1324-5YY0157</v>
          </cell>
          <cell r="C1787" t="str">
            <v>M19</v>
          </cell>
        </row>
        <row r="1788">
          <cell r="B1788" t="str">
            <v>1324-5YY0157/MX</v>
          </cell>
          <cell r="C1788" t="str">
            <v>M19</v>
          </cell>
        </row>
        <row r="1789">
          <cell r="B1789" t="str">
            <v>1324-5YY0159/MX</v>
          </cell>
          <cell r="C1789" t="str">
            <v>M19</v>
          </cell>
        </row>
        <row r="1790">
          <cell r="B1790" t="str">
            <v>1324-5YY0160/MX</v>
          </cell>
          <cell r="C1790" t="str">
            <v>M19</v>
          </cell>
        </row>
        <row r="1791">
          <cell r="B1791" t="str">
            <v>1324-5YY0164/MX</v>
          </cell>
          <cell r="C1791" t="str">
            <v>M19</v>
          </cell>
        </row>
        <row r="1792">
          <cell r="B1792" t="str">
            <v>1324-5YY0165/MX</v>
          </cell>
          <cell r="C1792" t="str">
            <v>M19</v>
          </cell>
        </row>
        <row r="1793">
          <cell r="B1793" t="str">
            <v>1324-5YY0167/MX</v>
          </cell>
          <cell r="C1793" t="str">
            <v>M19</v>
          </cell>
        </row>
        <row r="1794">
          <cell r="B1794" t="str">
            <v>1324-5YY0170-YCEN</v>
          </cell>
          <cell r="C1794" t="str">
            <v>M19</v>
          </cell>
        </row>
        <row r="1795">
          <cell r="B1795" t="str">
            <v>1324-5YY0172/MX</v>
          </cell>
          <cell r="C1795" t="str">
            <v>M19</v>
          </cell>
        </row>
        <row r="1796">
          <cell r="B1796" t="str">
            <v>1324-5YY0175/MX</v>
          </cell>
          <cell r="C1796" t="str">
            <v>M19</v>
          </cell>
        </row>
        <row r="1797">
          <cell r="B1797" t="str">
            <v>1324-5YY0191/MX</v>
          </cell>
          <cell r="C1797" t="str">
            <v>M19</v>
          </cell>
        </row>
        <row r="1798">
          <cell r="B1798" t="str">
            <v>1324-5YY0192/MX</v>
          </cell>
          <cell r="C1798" t="str">
            <v>M19</v>
          </cell>
        </row>
        <row r="1799">
          <cell r="B1799" t="str">
            <v>1324-5YY0211</v>
          </cell>
          <cell r="C1799" t="str">
            <v>M19</v>
          </cell>
        </row>
        <row r="1800">
          <cell r="B1800" t="str">
            <v>1324-5YY0212</v>
          </cell>
          <cell r="C1800" t="str">
            <v>M19</v>
          </cell>
        </row>
        <row r="1801">
          <cell r="B1801" t="str">
            <v>1324-5YY0218</v>
          </cell>
          <cell r="C1801" t="str">
            <v>M19</v>
          </cell>
        </row>
        <row r="1802">
          <cell r="B1802" t="str">
            <v>1324-5YY0249</v>
          </cell>
          <cell r="C1802" t="str">
            <v>M19</v>
          </cell>
        </row>
        <row r="1803">
          <cell r="B1803" t="str">
            <v>1324-5YY0250</v>
          </cell>
          <cell r="C1803" t="str">
            <v>M19</v>
          </cell>
        </row>
        <row r="1804">
          <cell r="B1804" t="str">
            <v>1324-5YY0305</v>
          </cell>
          <cell r="C1804" t="str">
            <v>M19</v>
          </cell>
        </row>
        <row r="1805">
          <cell r="B1805" t="str">
            <v>1325-5YY0221/MX</v>
          </cell>
          <cell r="C1805" t="str">
            <v>M19</v>
          </cell>
        </row>
        <row r="1806">
          <cell r="B1806" t="str">
            <v>1325-5YY0222/MX</v>
          </cell>
          <cell r="C1806" t="str">
            <v>M19</v>
          </cell>
        </row>
        <row r="1807">
          <cell r="B1807" t="str">
            <v>1325-5YY0250/MX</v>
          </cell>
          <cell r="C1807" t="str">
            <v>M19</v>
          </cell>
        </row>
        <row r="1808">
          <cell r="B1808" t="str">
            <v>1325-5YY0251/MX</v>
          </cell>
          <cell r="C1808" t="str">
            <v>M19</v>
          </cell>
        </row>
        <row r="1809">
          <cell r="B1809" t="str">
            <v>1325-5YY0263/MX</v>
          </cell>
          <cell r="C1809" t="str">
            <v>M19</v>
          </cell>
        </row>
        <row r="1810">
          <cell r="B1810" t="str">
            <v>1325-5YY0318</v>
          </cell>
          <cell r="C1810" t="str">
            <v>M19</v>
          </cell>
        </row>
        <row r="1811">
          <cell r="B1811" t="str">
            <v>1326-5YY0033EN</v>
          </cell>
          <cell r="C1811" t="str">
            <v>M19</v>
          </cell>
        </row>
        <row r="1812">
          <cell r="B1812" t="str">
            <v>1326-5YY0034EN</v>
          </cell>
          <cell r="C1812" t="str">
            <v>M19</v>
          </cell>
        </row>
        <row r="1813">
          <cell r="B1813" t="str">
            <v>1326-5YY0035EN</v>
          </cell>
          <cell r="C1813" t="str">
            <v>M19</v>
          </cell>
        </row>
        <row r="1814">
          <cell r="B1814" t="str">
            <v>1326-5YY0036EN</v>
          </cell>
          <cell r="C1814" t="str">
            <v>M19</v>
          </cell>
        </row>
        <row r="1815">
          <cell r="B1815" t="str">
            <v>1326-5YY0037EN</v>
          </cell>
          <cell r="C1815" t="str">
            <v>M19</v>
          </cell>
        </row>
        <row r="1816">
          <cell r="B1816" t="str">
            <v>1326-5YY0038EN</v>
          </cell>
          <cell r="C1816" t="str">
            <v>M19</v>
          </cell>
        </row>
        <row r="1817">
          <cell r="B1817" t="str">
            <v>1326-5YY0039EN</v>
          </cell>
          <cell r="C1817" t="str">
            <v>M19</v>
          </cell>
        </row>
        <row r="1818">
          <cell r="B1818" t="str">
            <v>1326-5YY0082EN</v>
          </cell>
          <cell r="C1818" t="str">
            <v>M19</v>
          </cell>
        </row>
        <row r="1819">
          <cell r="B1819" t="str">
            <v>1330-5YY0086EN</v>
          </cell>
          <cell r="C1819" t="str">
            <v>M19</v>
          </cell>
        </row>
        <row r="1820">
          <cell r="B1820" t="str">
            <v>1330-5YY0088EN</v>
          </cell>
          <cell r="C1820" t="str">
            <v>M19</v>
          </cell>
        </row>
        <row r="1821">
          <cell r="B1821" t="str">
            <v>1330-5YY0090EN</v>
          </cell>
          <cell r="C1821" t="str">
            <v>M19</v>
          </cell>
        </row>
        <row r="1822">
          <cell r="B1822" t="str">
            <v>1330-5YY0096EN</v>
          </cell>
          <cell r="C1822" t="str">
            <v>M19</v>
          </cell>
        </row>
        <row r="1823">
          <cell r="B1823" t="str">
            <v>1330-5YY0097EN</v>
          </cell>
          <cell r="C1823" t="str">
            <v>M19</v>
          </cell>
        </row>
        <row r="1824">
          <cell r="B1824" t="str">
            <v>1330-5YY0098</v>
          </cell>
          <cell r="C1824" t="str">
            <v>M19</v>
          </cell>
        </row>
        <row r="1825">
          <cell r="B1825" t="str">
            <v>1330-5YY0099EN</v>
          </cell>
          <cell r="C1825" t="str">
            <v>M19</v>
          </cell>
        </row>
        <row r="1826">
          <cell r="B1826" t="str">
            <v>1330-5YY0100EN</v>
          </cell>
          <cell r="C1826" t="str">
            <v>M19</v>
          </cell>
        </row>
        <row r="1827">
          <cell r="B1827" t="str">
            <v>1330-5YY0101EN</v>
          </cell>
          <cell r="C1827" t="str">
            <v>M19</v>
          </cell>
        </row>
        <row r="1828">
          <cell r="B1828" t="str">
            <v>1330-5YY0102</v>
          </cell>
          <cell r="C1828" t="str">
            <v>M19</v>
          </cell>
        </row>
        <row r="1829">
          <cell r="B1829" t="str">
            <v>1330-5YY0106</v>
          </cell>
          <cell r="C1829" t="str">
            <v>M19</v>
          </cell>
        </row>
        <row r="1830">
          <cell r="B1830" t="str">
            <v>1330-5YY0107</v>
          </cell>
          <cell r="C1830" t="str">
            <v>M19</v>
          </cell>
        </row>
        <row r="1831">
          <cell r="B1831" t="str">
            <v>1330-5YY0112EN</v>
          </cell>
          <cell r="C1831" t="str">
            <v>M19</v>
          </cell>
        </row>
        <row r="1832">
          <cell r="B1832" t="str">
            <v>1330-5YY0129EN</v>
          </cell>
          <cell r="C1832" t="str">
            <v>M19</v>
          </cell>
        </row>
        <row r="1833">
          <cell r="B1833" t="str">
            <v>1330-5YY0130-93EN</v>
          </cell>
          <cell r="C1833" t="str">
            <v>M19</v>
          </cell>
        </row>
        <row r="1834">
          <cell r="B1834" t="str">
            <v>1330-5YY0130-C4EN</v>
          </cell>
          <cell r="C1834" t="str">
            <v>M19</v>
          </cell>
        </row>
        <row r="1835">
          <cell r="B1835" t="str">
            <v>1330-5YY0130EN</v>
          </cell>
          <cell r="C1835" t="str">
            <v>M19</v>
          </cell>
        </row>
        <row r="1836">
          <cell r="B1836" t="str">
            <v>1330-5YY0142EN</v>
          </cell>
          <cell r="C1836" t="str">
            <v>M19</v>
          </cell>
        </row>
        <row r="1837">
          <cell r="B1837" t="str">
            <v>1330-5YY0152EN</v>
          </cell>
          <cell r="C1837" t="str">
            <v>M19</v>
          </cell>
        </row>
        <row r="1838">
          <cell r="B1838" t="str">
            <v>1330-5YY0153EN</v>
          </cell>
          <cell r="C1838" t="str">
            <v>M19</v>
          </cell>
        </row>
        <row r="1839">
          <cell r="B1839" t="str">
            <v>1330-5YY0154EN</v>
          </cell>
          <cell r="C1839" t="str">
            <v>M19</v>
          </cell>
        </row>
        <row r="1840">
          <cell r="B1840" t="str">
            <v>1330-5YY0155EN</v>
          </cell>
          <cell r="C1840" t="str">
            <v>M19</v>
          </cell>
        </row>
        <row r="1841">
          <cell r="B1841" t="str">
            <v>1330-5YY0167-C4EN</v>
          </cell>
          <cell r="C1841" t="str">
            <v>M19</v>
          </cell>
        </row>
        <row r="1842">
          <cell r="B1842" t="str">
            <v>1330-5YY0167EN</v>
          </cell>
          <cell r="C1842" t="str">
            <v>M19</v>
          </cell>
        </row>
        <row r="1843">
          <cell r="B1843" t="str">
            <v>1330-5YY0168-C4EN</v>
          </cell>
          <cell r="C1843" t="str">
            <v>M19</v>
          </cell>
        </row>
        <row r="1844">
          <cell r="B1844" t="str">
            <v>1330-5YY0168EN</v>
          </cell>
          <cell r="C1844" t="str">
            <v>M19</v>
          </cell>
        </row>
        <row r="1845">
          <cell r="B1845" t="str">
            <v>1330-5YY0171EN</v>
          </cell>
          <cell r="C1845" t="str">
            <v>M19</v>
          </cell>
        </row>
        <row r="1846">
          <cell r="B1846" t="str">
            <v>1330-5YY0172-C4EN</v>
          </cell>
          <cell r="C1846" t="str">
            <v>M19</v>
          </cell>
        </row>
        <row r="1847">
          <cell r="B1847" t="str">
            <v>1330-5YY0172EN</v>
          </cell>
          <cell r="C1847" t="str">
            <v>M19</v>
          </cell>
        </row>
        <row r="1848">
          <cell r="B1848" t="str">
            <v>1330-5YY0173-C4EN</v>
          </cell>
          <cell r="C1848" t="str">
            <v>M19</v>
          </cell>
        </row>
        <row r="1849">
          <cell r="B1849" t="str">
            <v>1330-5YY0173EN</v>
          </cell>
          <cell r="C1849" t="str">
            <v>M19</v>
          </cell>
        </row>
        <row r="1850">
          <cell r="B1850" t="str">
            <v>1330-5YY0174-C4EN</v>
          </cell>
          <cell r="C1850" t="str">
            <v>M19</v>
          </cell>
        </row>
        <row r="1851">
          <cell r="B1851" t="str">
            <v>1330-5YY0174EN</v>
          </cell>
          <cell r="C1851" t="str">
            <v>M19</v>
          </cell>
        </row>
        <row r="1852">
          <cell r="B1852" t="str">
            <v>1330-5YY0176-C4EN</v>
          </cell>
          <cell r="C1852" t="str">
            <v>M19</v>
          </cell>
        </row>
        <row r="1853">
          <cell r="B1853" t="str">
            <v>1330-5YY0176EN</v>
          </cell>
          <cell r="C1853" t="str">
            <v>M19</v>
          </cell>
        </row>
        <row r="1854">
          <cell r="B1854" t="str">
            <v>1330-5YY0177-C4EN</v>
          </cell>
          <cell r="C1854" t="str">
            <v>M19</v>
          </cell>
        </row>
        <row r="1855">
          <cell r="B1855" t="str">
            <v>1330-5YY0177EN</v>
          </cell>
          <cell r="C1855" t="str">
            <v>M19</v>
          </cell>
        </row>
        <row r="1856">
          <cell r="B1856" t="str">
            <v>1330-5YY0182EN</v>
          </cell>
          <cell r="C1856" t="str">
            <v>M19</v>
          </cell>
        </row>
        <row r="1857">
          <cell r="B1857" t="str">
            <v>1330-5YY0183EN</v>
          </cell>
          <cell r="C1857" t="str">
            <v>M19</v>
          </cell>
        </row>
        <row r="1858">
          <cell r="B1858" t="str">
            <v>1330-5YY0197EN</v>
          </cell>
          <cell r="C1858" t="str">
            <v>M19</v>
          </cell>
        </row>
        <row r="1859">
          <cell r="B1859" t="str">
            <v>1330-5YY0199EN</v>
          </cell>
          <cell r="C1859" t="str">
            <v>M19</v>
          </cell>
        </row>
        <row r="1860">
          <cell r="B1860" t="str">
            <v>1330-5YY0251EN</v>
          </cell>
          <cell r="C1860" t="str">
            <v>M19</v>
          </cell>
        </row>
        <row r="1861">
          <cell r="B1861" t="str">
            <v>1330-5YY0256EN</v>
          </cell>
          <cell r="C1861" t="str">
            <v>M19</v>
          </cell>
        </row>
        <row r="1862">
          <cell r="B1862" t="str">
            <v>1333-5YY0041/MX</v>
          </cell>
          <cell r="C1862" t="str">
            <v>M19</v>
          </cell>
        </row>
        <row r="1863">
          <cell r="B1863" t="str">
            <v>1333-5YY0042/MX</v>
          </cell>
          <cell r="C1863" t="str">
            <v>M19</v>
          </cell>
        </row>
        <row r="1864">
          <cell r="B1864" t="str">
            <v>1333-5YY0044/MX</v>
          </cell>
          <cell r="C1864" t="str">
            <v>M19</v>
          </cell>
        </row>
        <row r="1865">
          <cell r="B1865" t="str">
            <v>1333-5YY0049/MX</v>
          </cell>
          <cell r="C1865" t="str">
            <v>M19</v>
          </cell>
        </row>
        <row r="1866">
          <cell r="B1866" t="str">
            <v>1333-5YY0079/MX</v>
          </cell>
          <cell r="C1866" t="str">
            <v>M19</v>
          </cell>
        </row>
        <row r="1867">
          <cell r="B1867" t="str">
            <v>1333-5YY0080/MX</v>
          </cell>
          <cell r="C1867" t="str">
            <v>M19</v>
          </cell>
        </row>
        <row r="1868">
          <cell r="B1868" t="str">
            <v>1333-5YY0084/MX</v>
          </cell>
          <cell r="C1868" t="str">
            <v>M19</v>
          </cell>
        </row>
        <row r="1869">
          <cell r="B1869" t="str">
            <v>1333-5YY0086/MX</v>
          </cell>
          <cell r="C1869" t="str">
            <v>M19</v>
          </cell>
        </row>
        <row r="1870">
          <cell r="B1870" t="str">
            <v>1333-5YY0090/MX</v>
          </cell>
          <cell r="C1870" t="str">
            <v>M19</v>
          </cell>
        </row>
        <row r="1871">
          <cell r="B1871" t="str">
            <v>1333-5YY0091/MX</v>
          </cell>
          <cell r="C1871" t="str">
            <v>M19</v>
          </cell>
        </row>
        <row r="1872">
          <cell r="B1872" t="str">
            <v>1333-5YY0092/MX</v>
          </cell>
          <cell r="C1872" t="str">
            <v>M19</v>
          </cell>
        </row>
        <row r="1873">
          <cell r="B1873" t="str">
            <v>1333-5YY0093/MX</v>
          </cell>
          <cell r="C1873" t="str">
            <v>M19</v>
          </cell>
        </row>
        <row r="1874">
          <cell r="B1874" t="str">
            <v>1333-5YY0099/MX</v>
          </cell>
          <cell r="C1874" t="str">
            <v>M19</v>
          </cell>
        </row>
        <row r="1875">
          <cell r="B1875" t="str">
            <v>1333-5YY0109/MX</v>
          </cell>
          <cell r="C1875" t="str">
            <v>M19</v>
          </cell>
        </row>
        <row r="1876">
          <cell r="B1876" t="str">
            <v>1333-5YY0110/MX</v>
          </cell>
          <cell r="C1876" t="str">
            <v>M19</v>
          </cell>
        </row>
        <row r="1877">
          <cell r="B1877" t="str">
            <v>1333-5YY0111</v>
          </cell>
          <cell r="C1877" t="str">
            <v>M19</v>
          </cell>
        </row>
        <row r="1878">
          <cell r="B1878" t="str">
            <v>1333-5YY0118</v>
          </cell>
          <cell r="C1878" t="str">
            <v>M19</v>
          </cell>
        </row>
        <row r="1879">
          <cell r="B1879" t="str">
            <v>1333-5YY0118/MX</v>
          </cell>
          <cell r="C1879" t="str">
            <v>M19</v>
          </cell>
        </row>
        <row r="1880">
          <cell r="B1880" t="str">
            <v>1333-5YY0119/MX</v>
          </cell>
          <cell r="C1880" t="str">
            <v>M19</v>
          </cell>
        </row>
        <row r="1881">
          <cell r="B1881" t="str">
            <v>1333-5YY0120</v>
          </cell>
          <cell r="C1881" t="str">
            <v>M19</v>
          </cell>
        </row>
        <row r="1882">
          <cell r="B1882" t="str">
            <v>1333-5YY0120/MX</v>
          </cell>
          <cell r="C1882" t="str">
            <v>M19</v>
          </cell>
        </row>
        <row r="1883">
          <cell r="B1883" t="str">
            <v>1333-5YY0121/MX</v>
          </cell>
          <cell r="C1883" t="str">
            <v>M19</v>
          </cell>
        </row>
        <row r="1884">
          <cell r="B1884" t="str">
            <v>1333-5YY0125/MX</v>
          </cell>
          <cell r="C1884" t="str">
            <v>M19</v>
          </cell>
        </row>
        <row r="1885">
          <cell r="B1885" t="str">
            <v>1333-5YY0126/MX</v>
          </cell>
          <cell r="C1885" t="str">
            <v>M19</v>
          </cell>
        </row>
        <row r="1886">
          <cell r="B1886" t="str">
            <v>1333-5YY0127/MX</v>
          </cell>
          <cell r="C1886" t="str">
            <v>M19</v>
          </cell>
        </row>
        <row r="1887">
          <cell r="B1887" t="str">
            <v>1333-5YY0133/MX</v>
          </cell>
          <cell r="C1887" t="str">
            <v>M19</v>
          </cell>
        </row>
        <row r="1888">
          <cell r="B1888" t="str">
            <v>1333-5YY0136/MX</v>
          </cell>
          <cell r="C1888" t="str">
            <v>M19</v>
          </cell>
        </row>
        <row r="1889">
          <cell r="B1889" t="str">
            <v>1333-5YY0137/MX</v>
          </cell>
          <cell r="C1889" t="str">
            <v>M19</v>
          </cell>
        </row>
        <row r="1890">
          <cell r="B1890" t="str">
            <v>1333-5YY0138/MX</v>
          </cell>
          <cell r="C1890" t="str">
            <v>M19</v>
          </cell>
        </row>
        <row r="1891">
          <cell r="B1891" t="str">
            <v>1333-5YY0143/MX</v>
          </cell>
          <cell r="C1891" t="str">
            <v>M19</v>
          </cell>
        </row>
        <row r="1892">
          <cell r="B1892" t="str">
            <v>1333-5YY0147/MX</v>
          </cell>
          <cell r="C1892" t="str">
            <v>M19</v>
          </cell>
        </row>
        <row r="1893">
          <cell r="B1893" t="str">
            <v>1333-5YY0162/MX</v>
          </cell>
          <cell r="C1893" t="str">
            <v>M19</v>
          </cell>
        </row>
        <row r="1894">
          <cell r="B1894" t="str">
            <v>1333-5YY0166/MX</v>
          </cell>
          <cell r="C1894" t="str">
            <v>M19</v>
          </cell>
        </row>
        <row r="1895">
          <cell r="B1895" t="str">
            <v>1333-5YY0167/MX</v>
          </cell>
          <cell r="C1895" t="str">
            <v>M19</v>
          </cell>
        </row>
        <row r="1896">
          <cell r="B1896" t="str">
            <v>1333-5YY0168/MX</v>
          </cell>
          <cell r="C1896" t="str">
            <v>M19</v>
          </cell>
        </row>
        <row r="1897">
          <cell r="B1897" t="str">
            <v>1333-5YY0169/MX</v>
          </cell>
          <cell r="C1897" t="str">
            <v>M19</v>
          </cell>
        </row>
        <row r="1898">
          <cell r="B1898" t="str">
            <v>1333-5YY0170/MX</v>
          </cell>
          <cell r="C1898" t="str">
            <v>M19</v>
          </cell>
        </row>
        <row r="1899">
          <cell r="B1899" t="str">
            <v>1333-5YY0184/MX</v>
          </cell>
          <cell r="C1899" t="str">
            <v>M19</v>
          </cell>
        </row>
        <row r="1900">
          <cell r="B1900" t="str">
            <v>1333-5YY0185/MX</v>
          </cell>
          <cell r="C1900" t="str">
            <v>M19</v>
          </cell>
        </row>
        <row r="1901">
          <cell r="B1901" t="str">
            <v>1333-5YY0186/MX</v>
          </cell>
          <cell r="C1901" t="str">
            <v>M19</v>
          </cell>
        </row>
        <row r="1902">
          <cell r="B1902" t="str">
            <v>1333-5YY0187/MX</v>
          </cell>
          <cell r="C1902" t="str">
            <v>M19</v>
          </cell>
        </row>
        <row r="1903">
          <cell r="B1903" t="str">
            <v>1333-5YY0206/MX</v>
          </cell>
          <cell r="C1903" t="str">
            <v>M19</v>
          </cell>
        </row>
        <row r="1904">
          <cell r="B1904" t="str">
            <v>1333-5YY0207/MX</v>
          </cell>
          <cell r="C1904" t="str">
            <v>M19</v>
          </cell>
        </row>
        <row r="1905">
          <cell r="B1905" t="str">
            <v>1333-5YY0208/MX</v>
          </cell>
          <cell r="C1905" t="str">
            <v>M19</v>
          </cell>
        </row>
        <row r="1906">
          <cell r="B1906" t="str">
            <v>1333-5YY0211</v>
          </cell>
          <cell r="C1906" t="str">
            <v>M19</v>
          </cell>
        </row>
        <row r="1907">
          <cell r="B1907" t="str">
            <v>1333-5YY0213/MX</v>
          </cell>
          <cell r="C1907" t="str">
            <v>M19</v>
          </cell>
        </row>
        <row r="1908">
          <cell r="B1908" t="str">
            <v>1333-5YY0214/MX</v>
          </cell>
          <cell r="C1908" t="str">
            <v>M19</v>
          </cell>
        </row>
        <row r="1909">
          <cell r="B1909" t="str">
            <v>1333-5YY0233</v>
          </cell>
          <cell r="C1909" t="str">
            <v>M19</v>
          </cell>
        </row>
        <row r="1910">
          <cell r="B1910" t="str">
            <v>1333-5YY0236/MX</v>
          </cell>
          <cell r="C1910" t="str">
            <v>M19</v>
          </cell>
        </row>
        <row r="1911">
          <cell r="B1911" t="str">
            <v>1333-5YY0239</v>
          </cell>
          <cell r="C1911" t="str">
            <v>M19</v>
          </cell>
        </row>
        <row r="1912">
          <cell r="B1912" t="str">
            <v>1333-5YY0240</v>
          </cell>
          <cell r="C1912" t="str">
            <v>M19</v>
          </cell>
        </row>
        <row r="1913">
          <cell r="B1913" t="str">
            <v>1333-5YY0258/MX</v>
          </cell>
          <cell r="C1913" t="str">
            <v>M19</v>
          </cell>
        </row>
        <row r="1914">
          <cell r="B1914" t="str">
            <v>1333-5YY0264</v>
          </cell>
          <cell r="C1914" t="str">
            <v>M19</v>
          </cell>
        </row>
        <row r="1915">
          <cell r="B1915" t="str">
            <v>1333-5YY0265</v>
          </cell>
          <cell r="C1915" t="str">
            <v>M19</v>
          </cell>
        </row>
        <row r="1916">
          <cell r="B1916" t="str">
            <v>1333-5YY0272/MX</v>
          </cell>
          <cell r="C1916" t="str">
            <v>M19</v>
          </cell>
        </row>
        <row r="1917">
          <cell r="B1917" t="str">
            <v>1333-5YY0278</v>
          </cell>
          <cell r="C1917" t="str">
            <v>M19</v>
          </cell>
        </row>
        <row r="1918">
          <cell r="B1918" t="str">
            <v>1333-5YY0279</v>
          </cell>
          <cell r="C1918" t="str">
            <v>M19</v>
          </cell>
        </row>
        <row r="1919">
          <cell r="B1919" t="str">
            <v>1333-5YY0280</v>
          </cell>
          <cell r="C1919" t="str">
            <v>M19</v>
          </cell>
        </row>
        <row r="1920">
          <cell r="B1920" t="str">
            <v>1333-5YY0281</v>
          </cell>
          <cell r="C1920" t="str">
            <v>M19</v>
          </cell>
        </row>
        <row r="1921">
          <cell r="B1921" t="str">
            <v>1333-5YY0283</v>
          </cell>
          <cell r="C1921" t="str">
            <v>M19</v>
          </cell>
        </row>
        <row r="1922">
          <cell r="B1922" t="str">
            <v>1333-5YY0284</v>
          </cell>
          <cell r="C1922" t="str">
            <v>M19</v>
          </cell>
        </row>
        <row r="1923">
          <cell r="B1923" t="str">
            <v>1333-5YY0285</v>
          </cell>
          <cell r="C1923" t="str">
            <v>M19</v>
          </cell>
        </row>
        <row r="1924">
          <cell r="B1924" t="str">
            <v>1333-5YY0286</v>
          </cell>
          <cell r="C1924" t="str">
            <v>M19</v>
          </cell>
        </row>
        <row r="1925">
          <cell r="B1925" t="str">
            <v>1333-5YY0290</v>
          </cell>
          <cell r="C1925" t="str">
            <v>M19</v>
          </cell>
        </row>
        <row r="1926">
          <cell r="B1926" t="str">
            <v>1333-5YY0291</v>
          </cell>
          <cell r="C1926" t="str">
            <v>M19</v>
          </cell>
        </row>
        <row r="1927">
          <cell r="B1927" t="str">
            <v>1333-5YY0302</v>
          </cell>
          <cell r="C1927" t="str">
            <v>M19</v>
          </cell>
        </row>
        <row r="1928">
          <cell r="B1928" t="str">
            <v>1333-5YY0310</v>
          </cell>
          <cell r="C1928" t="str">
            <v>M19</v>
          </cell>
        </row>
        <row r="1929">
          <cell r="B1929" t="str">
            <v>1333-5YY0321</v>
          </cell>
          <cell r="C1929" t="str">
            <v>M19</v>
          </cell>
        </row>
        <row r="1930">
          <cell r="B1930" t="str">
            <v>1333-5YY0345</v>
          </cell>
          <cell r="C1930" t="str">
            <v>M19</v>
          </cell>
        </row>
        <row r="1931">
          <cell r="B1931" t="str">
            <v>1333-5YY0362</v>
          </cell>
          <cell r="C1931" t="str">
            <v>M19</v>
          </cell>
        </row>
        <row r="1932">
          <cell r="B1932" t="str">
            <v>1333-5YY0367</v>
          </cell>
          <cell r="C1932" t="str">
            <v>M19</v>
          </cell>
        </row>
        <row r="1933">
          <cell r="B1933" t="str">
            <v>1333-5YY0369</v>
          </cell>
          <cell r="C1933" t="str">
            <v>M19</v>
          </cell>
        </row>
        <row r="1934">
          <cell r="B1934" t="str">
            <v>1337-5YY0151-YCEN</v>
          </cell>
          <cell r="C1934" t="str">
            <v>M19</v>
          </cell>
        </row>
        <row r="1935">
          <cell r="B1935" t="str">
            <v>1337-5YY0152/MX</v>
          </cell>
          <cell r="C1935" t="str">
            <v>M19</v>
          </cell>
        </row>
        <row r="1936">
          <cell r="B1936" t="str">
            <v>1337-5YY0162/MX</v>
          </cell>
          <cell r="C1936" t="str">
            <v>M19</v>
          </cell>
        </row>
        <row r="1937">
          <cell r="B1937" t="str">
            <v>1391-1YY0209</v>
          </cell>
          <cell r="C1937" t="str">
            <v>M19</v>
          </cell>
        </row>
        <row r="1938">
          <cell r="B1938" t="str">
            <v>1391-5YY0058</v>
          </cell>
          <cell r="C1938" t="str">
            <v>M19</v>
          </cell>
        </row>
        <row r="1939">
          <cell r="B1939" t="str">
            <v>1391-5YY0131</v>
          </cell>
          <cell r="C1939" t="str">
            <v>M19</v>
          </cell>
        </row>
        <row r="1940">
          <cell r="B1940" t="str">
            <v>1391-5YY0132</v>
          </cell>
          <cell r="C1940" t="str">
            <v>M19</v>
          </cell>
        </row>
        <row r="1941">
          <cell r="B1941" t="str">
            <v>1391-5YY0188</v>
          </cell>
          <cell r="C1941" t="str">
            <v>M19</v>
          </cell>
        </row>
        <row r="1942">
          <cell r="B1942" t="str">
            <v>1391-5YY0221</v>
          </cell>
          <cell r="C1942" t="str">
            <v>M19</v>
          </cell>
        </row>
        <row r="1943">
          <cell r="B1943" t="str">
            <v>1391-5YY0222</v>
          </cell>
          <cell r="C1943" t="str">
            <v>M19</v>
          </cell>
        </row>
        <row r="1944">
          <cell r="B1944" t="str">
            <v>1391-5YY0242</v>
          </cell>
          <cell r="C1944" t="str">
            <v>M19</v>
          </cell>
        </row>
        <row r="1945">
          <cell r="B1945" t="str">
            <v>1391-5YY0250</v>
          </cell>
          <cell r="C1945" t="str">
            <v>M19</v>
          </cell>
        </row>
        <row r="1946">
          <cell r="B1946" t="str">
            <v>1391-5YY0253-YBEN</v>
          </cell>
          <cell r="C1946" t="str">
            <v>M19</v>
          </cell>
        </row>
        <row r="1947">
          <cell r="B1947" t="str">
            <v>1391-5YY0253-YCEN</v>
          </cell>
          <cell r="C1947" t="str">
            <v>M19</v>
          </cell>
        </row>
        <row r="1948">
          <cell r="B1948" t="str">
            <v>1391-5YY0253EN</v>
          </cell>
          <cell r="C1948" t="str">
            <v>M19</v>
          </cell>
        </row>
        <row r="1949">
          <cell r="B1949" t="str">
            <v>1391-5YY0254</v>
          </cell>
          <cell r="C1949" t="str">
            <v>M19</v>
          </cell>
        </row>
        <row r="1950">
          <cell r="B1950" t="str">
            <v>1391-5YY0261</v>
          </cell>
          <cell r="C1950" t="str">
            <v>M19</v>
          </cell>
        </row>
        <row r="1951">
          <cell r="B1951" t="str">
            <v>1391-5YY0276</v>
          </cell>
          <cell r="C1951" t="str">
            <v>M19</v>
          </cell>
        </row>
        <row r="1952">
          <cell r="B1952" t="str">
            <v>1391-5YY0277</v>
          </cell>
          <cell r="C1952" t="str">
            <v>M19</v>
          </cell>
        </row>
        <row r="1953">
          <cell r="B1953" t="str">
            <v>1392-5YY0072</v>
          </cell>
          <cell r="C1953" t="str">
            <v>M19</v>
          </cell>
        </row>
        <row r="1954">
          <cell r="B1954" t="str">
            <v>1392-5YY0075</v>
          </cell>
          <cell r="C1954" t="str">
            <v>M19</v>
          </cell>
        </row>
        <row r="1955">
          <cell r="B1955" t="str">
            <v>1392-5YY0082</v>
          </cell>
          <cell r="C1955" t="str">
            <v>M19</v>
          </cell>
        </row>
        <row r="1956">
          <cell r="B1956" t="str">
            <v>1394-5YY0003EN</v>
          </cell>
          <cell r="C1956" t="str">
            <v>M19</v>
          </cell>
        </row>
        <row r="1957">
          <cell r="B1957" t="str">
            <v>1394-5YY0004EN</v>
          </cell>
          <cell r="C1957" t="str">
            <v>M19</v>
          </cell>
        </row>
        <row r="1958">
          <cell r="B1958" t="str">
            <v>1394-5YY0016EN</v>
          </cell>
          <cell r="C1958" t="str">
            <v>M19</v>
          </cell>
        </row>
        <row r="1959">
          <cell r="B1959" t="str">
            <v>1395-5YY0024EN</v>
          </cell>
          <cell r="C1959" t="str">
            <v>M19</v>
          </cell>
        </row>
        <row r="1960">
          <cell r="B1960" t="str">
            <v>1403-5YY0109</v>
          </cell>
          <cell r="C1960" t="str">
            <v>M19</v>
          </cell>
        </row>
        <row r="1961">
          <cell r="B1961" t="str">
            <v>1403-5YY0136EN</v>
          </cell>
          <cell r="C1961" t="str">
            <v>M19</v>
          </cell>
        </row>
        <row r="1962">
          <cell r="B1962" t="str">
            <v>1405-5YY0009EN</v>
          </cell>
          <cell r="C1962" t="str">
            <v>M19</v>
          </cell>
        </row>
        <row r="1963">
          <cell r="B1963" t="str">
            <v>1414-1YY0088</v>
          </cell>
          <cell r="C1963" t="str">
            <v>M19</v>
          </cell>
        </row>
        <row r="1964">
          <cell r="B1964" t="str">
            <v>1414-5YY0003</v>
          </cell>
          <cell r="C1964" t="str">
            <v>M19</v>
          </cell>
        </row>
        <row r="1965">
          <cell r="B1965" t="str">
            <v>1414-5YY0070</v>
          </cell>
          <cell r="C1965" t="str">
            <v>M19</v>
          </cell>
        </row>
        <row r="1966">
          <cell r="B1966" t="str">
            <v>1414-5YY0108</v>
          </cell>
          <cell r="C1966" t="str">
            <v>M19</v>
          </cell>
        </row>
        <row r="1967">
          <cell r="B1967" t="str">
            <v>1414-5YY0110</v>
          </cell>
          <cell r="C1967" t="str">
            <v>M19</v>
          </cell>
        </row>
        <row r="1968">
          <cell r="B1968" t="str">
            <v>1414-5YY0111</v>
          </cell>
          <cell r="C1968" t="str">
            <v>M19</v>
          </cell>
        </row>
        <row r="1969">
          <cell r="B1969" t="str">
            <v>1414-5YY0114</v>
          </cell>
          <cell r="C1969" t="str">
            <v>M19</v>
          </cell>
        </row>
        <row r="1970">
          <cell r="B1970" t="str">
            <v>1414-5YY0115</v>
          </cell>
          <cell r="C1970" t="str">
            <v>M19</v>
          </cell>
        </row>
        <row r="1971">
          <cell r="B1971" t="str">
            <v>1414-5YY0121</v>
          </cell>
          <cell r="C1971" t="str">
            <v>M19</v>
          </cell>
        </row>
        <row r="1972">
          <cell r="B1972" t="str">
            <v>1414-M020001</v>
          </cell>
          <cell r="C1972" t="str">
            <v>M19</v>
          </cell>
        </row>
        <row r="1973">
          <cell r="B1973" t="str">
            <v>1420-5YY0034/MX</v>
          </cell>
          <cell r="C1973" t="str">
            <v>M19</v>
          </cell>
        </row>
        <row r="1974">
          <cell r="B1974" t="str">
            <v>1429-5YY0322</v>
          </cell>
          <cell r="C1974" t="str">
            <v>M19</v>
          </cell>
        </row>
        <row r="1975">
          <cell r="B1975" t="str">
            <v>1429-5YY0322/MX</v>
          </cell>
          <cell r="C1975" t="str">
            <v>M19</v>
          </cell>
        </row>
        <row r="1976">
          <cell r="B1976" t="str">
            <v>1429-5YY0358</v>
          </cell>
          <cell r="C1976" t="str">
            <v>M19</v>
          </cell>
        </row>
        <row r="1977">
          <cell r="B1977" t="str">
            <v>1429-5YY0358/MX</v>
          </cell>
          <cell r="C1977" t="str">
            <v>M19</v>
          </cell>
        </row>
        <row r="1978">
          <cell r="B1978" t="str">
            <v>1429-5YY0359</v>
          </cell>
          <cell r="C1978" t="str">
            <v>M19</v>
          </cell>
        </row>
        <row r="1979">
          <cell r="B1979" t="str">
            <v>1429-5YY0359/MX</v>
          </cell>
          <cell r="C1979" t="str">
            <v>M19</v>
          </cell>
        </row>
        <row r="1980">
          <cell r="B1980" t="str">
            <v>1429-5YY0459/MX</v>
          </cell>
          <cell r="C1980" t="str">
            <v>M19</v>
          </cell>
        </row>
        <row r="1981">
          <cell r="B1981" t="str">
            <v>1429-5YY0472/MX</v>
          </cell>
          <cell r="C1981" t="str">
            <v>M19</v>
          </cell>
        </row>
        <row r="1982">
          <cell r="B1982" t="str">
            <v>1429-5YY0473/MX</v>
          </cell>
          <cell r="C1982" t="str">
            <v>M19</v>
          </cell>
        </row>
        <row r="1983">
          <cell r="B1983" t="str">
            <v>1429-5YY0560/MX</v>
          </cell>
          <cell r="C1983" t="str">
            <v>M19</v>
          </cell>
        </row>
        <row r="1984">
          <cell r="B1984" t="str">
            <v>1429-5YY0566</v>
          </cell>
          <cell r="C1984" t="str">
            <v>M19</v>
          </cell>
        </row>
        <row r="1985">
          <cell r="B1985" t="str">
            <v>1429-5YY0567</v>
          </cell>
          <cell r="C1985" t="str">
            <v>M19</v>
          </cell>
        </row>
        <row r="1986">
          <cell r="B1986" t="str">
            <v>1429-5YY0628/MX</v>
          </cell>
          <cell r="C1986" t="str">
            <v>M19</v>
          </cell>
        </row>
        <row r="1987">
          <cell r="B1987" t="str">
            <v>1429-5YY0642</v>
          </cell>
          <cell r="C1987" t="str">
            <v>M19</v>
          </cell>
        </row>
        <row r="1988">
          <cell r="B1988" t="str">
            <v>1429-5YY0649</v>
          </cell>
          <cell r="C1988" t="str">
            <v>M19</v>
          </cell>
        </row>
        <row r="1989">
          <cell r="B1989" t="str">
            <v>1429-5YY0673</v>
          </cell>
          <cell r="C1989" t="str">
            <v>M19</v>
          </cell>
        </row>
        <row r="1990">
          <cell r="B1990" t="str">
            <v>1429-5YY0688</v>
          </cell>
          <cell r="C1990" t="str">
            <v>M19</v>
          </cell>
        </row>
        <row r="1991">
          <cell r="B1991" t="str">
            <v>1429-5YY0729</v>
          </cell>
          <cell r="C1991" t="str">
            <v>M19</v>
          </cell>
        </row>
        <row r="1992">
          <cell r="B1992" t="str">
            <v>1429-5YY0740</v>
          </cell>
          <cell r="C1992" t="str">
            <v>M19</v>
          </cell>
        </row>
        <row r="1993">
          <cell r="B1993" t="str">
            <v>1429-5YY0794</v>
          </cell>
          <cell r="C1993" t="str">
            <v>M19</v>
          </cell>
        </row>
        <row r="1994">
          <cell r="B1994" t="str">
            <v>1438-5YY0162-MTEN</v>
          </cell>
          <cell r="C1994" t="str">
            <v>M19</v>
          </cell>
        </row>
        <row r="1995">
          <cell r="B1995" t="str">
            <v>1438-5YY0166-MTEN</v>
          </cell>
          <cell r="C1995" t="str">
            <v>M19</v>
          </cell>
        </row>
        <row r="1996">
          <cell r="B1996" t="str">
            <v>1438-5YY0245/MX</v>
          </cell>
          <cell r="C1996" t="str">
            <v>M19</v>
          </cell>
        </row>
        <row r="1997">
          <cell r="B1997" t="str">
            <v>1438-5YY0247/MX</v>
          </cell>
          <cell r="C1997" t="str">
            <v>M19</v>
          </cell>
        </row>
        <row r="1998">
          <cell r="B1998" t="str">
            <v>1438-5YY0247/MXA</v>
          </cell>
          <cell r="C1998" t="str">
            <v>M19</v>
          </cell>
        </row>
        <row r="1999">
          <cell r="B1999" t="str">
            <v>1438-5YY0268/MX</v>
          </cell>
          <cell r="C1999" t="str">
            <v>M19</v>
          </cell>
        </row>
        <row r="2000">
          <cell r="B2000" t="str">
            <v>1438-5YY0274-MTEN</v>
          </cell>
          <cell r="C2000" t="str">
            <v>M19</v>
          </cell>
        </row>
        <row r="2001">
          <cell r="B2001" t="str">
            <v>1438-5YY0339</v>
          </cell>
          <cell r="C2001" t="str">
            <v>M19</v>
          </cell>
        </row>
        <row r="2002">
          <cell r="B2002" t="str">
            <v>1438-5YY0357</v>
          </cell>
          <cell r="C2002" t="str">
            <v>M19</v>
          </cell>
        </row>
        <row r="2003">
          <cell r="B2003" t="str">
            <v>1438-5YY0358</v>
          </cell>
          <cell r="C2003" t="str">
            <v>M19</v>
          </cell>
        </row>
        <row r="2004">
          <cell r="B2004" t="str">
            <v>1438-5YY0373</v>
          </cell>
          <cell r="C2004" t="str">
            <v>M19</v>
          </cell>
        </row>
        <row r="2005">
          <cell r="B2005" t="str">
            <v>1438-5YY0374</v>
          </cell>
          <cell r="C2005" t="str">
            <v>M19</v>
          </cell>
        </row>
        <row r="2006">
          <cell r="B2006" t="str">
            <v>1438-5YY0390</v>
          </cell>
          <cell r="C2006" t="str">
            <v>M19</v>
          </cell>
        </row>
        <row r="2007">
          <cell r="B2007" t="str">
            <v>1438-5YY0391</v>
          </cell>
          <cell r="C2007" t="str">
            <v>M19</v>
          </cell>
        </row>
        <row r="2008">
          <cell r="B2008" t="str">
            <v>1438-5YY0393</v>
          </cell>
          <cell r="C2008" t="str">
            <v>M19</v>
          </cell>
        </row>
        <row r="2009">
          <cell r="B2009" t="str">
            <v>1438-5YY0402</v>
          </cell>
          <cell r="C2009" t="str">
            <v>M19</v>
          </cell>
        </row>
        <row r="2010">
          <cell r="B2010" t="str">
            <v>1438-5YY0404</v>
          </cell>
          <cell r="C2010" t="str">
            <v>M19</v>
          </cell>
        </row>
        <row r="2011">
          <cell r="B2011" t="str">
            <v>1438-5YY0411</v>
          </cell>
          <cell r="C2011" t="str">
            <v>M19</v>
          </cell>
        </row>
        <row r="2012">
          <cell r="B2012" t="str">
            <v>1438-5YY0412</v>
          </cell>
          <cell r="C2012" t="str">
            <v>M19</v>
          </cell>
        </row>
        <row r="2013">
          <cell r="B2013" t="str">
            <v>1438-5YY0416</v>
          </cell>
          <cell r="C2013" t="str">
            <v>M19</v>
          </cell>
        </row>
        <row r="2014">
          <cell r="B2014" t="str">
            <v>1438-5YY0417</v>
          </cell>
          <cell r="C2014" t="str">
            <v>M19</v>
          </cell>
        </row>
        <row r="2015">
          <cell r="B2015" t="str">
            <v>1438-5YY0419</v>
          </cell>
          <cell r="C2015" t="str">
            <v>M19</v>
          </cell>
        </row>
        <row r="2016">
          <cell r="B2016" t="str">
            <v>1438-5YY0420</v>
          </cell>
          <cell r="C2016" t="str">
            <v>M19</v>
          </cell>
        </row>
        <row r="2017">
          <cell r="B2017" t="str">
            <v>1438-5YY0429</v>
          </cell>
          <cell r="C2017" t="str">
            <v>M19</v>
          </cell>
        </row>
        <row r="2018">
          <cell r="B2018" t="str">
            <v>1438-5YY0430</v>
          </cell>
          <cell r="C2018" t="str">
            <v>M19</v>
          </cell>
        </row>
        <row r="2019">
          <cell r="B2019" t="str">
            <v>1438-5YY0439</v>
          </cell>
          <cell r="C2019" t="str">
            <v>M19</v>
          </cell>
        </row>
        <row r="2020">
          <cell r="B2020" t="str">
            <v>1438-5YY0440</v>
          </cell>
          <cell r="C2020" t="str">
            <v>M19</v>
          </cell>
        </row>
        <row r="2021">
          <cell r="B2021" t="str">
            <v>1438-5YY0442/MX</v>
          </cell>
          <cell r="C2021" t="str">
            <v>M19</v>
          </cell>
        </row>
        <row r="2022">
          <cell r="B2022" t="str">
            <v>1438-5YY0452</v>
          </cell>
          <cell r="C2022" t="str">
            <v>M19</v>
          </cell>
        </row>
        <row r="2023">
          <cell r="B2023" t="str">
            <v>1438-5YY0468</v>
          </cell>
          <cell r="C2023" t="str">
            <v>M19</v>
          </cell>
        </row>
        <row r="2024">
          <cell r="B2024" t="str">
            <v>1438-5YY0469</v>
          </cell>
          <cell r="C2024" t="str">
            <v>M19</v>
          </cell>
        </row>
        <row r="2025">
          <cell r="B2025" t="str">
            <v>1438-5YY0472</v>
          </cell>
          <cell r="C2025" t="str">
            <v>M19</v>
          </cell>
        </row>
        <row r="2026">
          <cell r="B2026" t="str">
            <v>1438-5YY0474</v>
          </cell>
          <cell r="C2026" t="str">
            <v>M19</v>
          </cell>
        </row>
        <row r="2027">
          <cell r="B2027" t="str">
            <v>1438-5YY0520</v>
          </cell>
          <cell r="C2027" t="str">
            <v>M19</v>
          </cell>
        </row>
        <row r="2028">
          <cell r="B2028" t="str">
            <v>1438-5YY0521</v>
          </cell>
          <cell r="C2028" t="str">
            <v>M19</v>
          </cell>
        </row>
        <row r="2029">
          <cell r="B2029" t="str">
            <v>1438-5YY0522</v>
          </cell>
          <cell r="C2029" t="str">
            <v>M19</v>
          </cell>
        </row>
        <row r="2030">
          <cell r="B2030" t="str">
            <v>1438-5YY0523</v>
          </cell>
          <cell r="C2030" t="str">
            <v>M19</v>
          </cell>
        </row>
        <row r="2031">
          <cell r="B2031" t="str">
            <v>1438-5YY0527</v>
          </cell>
          <cell r="C2031" t="str">
            <v>M19</v>
          </cell>
        </row>
        <row r="2032">
          <cell r="B2032" t="str">
            <v>1438-5YY0528</v>
          </cell>
          <cell r="C2032" t="str">
            <v>M19</v>
          </cell>
        </row>
        <row r="2033">
          <cell r="B2033" t="str">
            <v>1438-5YY0592</v>
          </cell>
          <cell r="C2033" t="str">
            <v>M19</v>
          </cell>
        </row>
        <row r="2034">
          <cell r="B2034" t="str">
            <v>1438-5YY0593</v>
          </cell>
          <cell r="C2034" t="str">
            <v>M19</v>
          </cell>
        </row>
        <row r="2035">
          <cell r="B2035" t="str">
            <v>1438-5YY0594</v>
          </cell>
          <cell r="C2035" t="str">
            <v>M19</v>
          </cell>
        </row>
        <row r="2036">
          <cell r="B2036" t="str">
            <v>1438-5YY0595</v>
          </cell>
          <cell r="C2036" t="str">
            <v>M19</v>
          </cell>
        </row>
        <row r="2037">
          <cell r="B2037" t="str">
            <v>1438-5YY0617</v>
          </cell>
          <cell r="C2037" t="str">
            <v>M19</v>
          </cell>
        </row>
        <row r="2038">
          <cell r="B2038" t="str">
            <v>1438-5YY0618</v>
          </cell>
          <cell r="C2038" t="str">
            <v>M19</v>
          </cell>
        </row>
        <row r="2039">
          <cell r="B2039" t="str">
            <v>1438-5YY0658</v>
          </cell>
          <cell r="C2039" t="str">
            <v>M19</v>
          </cell>
        </row>
        <row r="2040">
          <cell r="B2040" t="str">
            <v>1438-5YY0660</v>
          </cell>
          <cell r="C2040" t="str">
            <v>M19</v>
          </cell>
        </row>
        <row r="2041">
          <cell r="B2041" t="str">
            <v>1438-5YY0716</v>
          </cell>
          <cell r="C2041" t="str">
            <v>M19</v>
          </cell>
        </row>
        <row r="2042">
          <cell r="B2042" t="str">
            <v>1438-5YY0717</v>
          </cell>
          <cell r="C2042" t="str">
            <v>M19</v>
          </cell>
        </row>
        <row r="2043">
          <cell r="B2043" t="str">
            <v>1438-5YY0748</v>
          </cell>
          <cell r="C2043" t="str">
            <v>M19</v>
          </cell>
        </row>
        <row r="2044">
          <cell r="B2044" t="str">
            <v>1438-5YY0749</v>
          </cell>
          <cell r="C2044" t="str">
            <v>M19</v>
          </cell>
        </row>
        <row r="2045">
          <cell r="B2045" t="str">
            <v>1446-5YY0125EN</v>
          </cell>
          <cell r="C2045" t="str">
            <v>M19</v>
          </cell>
        </row>
        <row r="2046">
          <cell r="B2046" t="str">
            <v>1459-5YY0128/MX</v>
          </cell>
          <cell r="C2046" t="str">
            <v>M19</v>
          </cell>
        </row>
        <row r="2047">
          <cell r="B2047" t="str">
            <v>1459-5YY0130EN</v>
          </cell>
          <cell r="C2047" t="str">
            <v>M19</v>
          </cell>
        </row>
        <row r="2048">
          <cell r="B2048" t="str">
            <v>1459-5YY0137</v>
          </cell>
          <cell r="C2048" t="str">
            <v>M19</v>
          </cell>
        </row>
        <row r="2049">
          <cell r="B2049" t="str">
            <v>1459-5YY0140</v>
          </cell>
          <cell r="C2049" t="str">
            <v>M19</v>
          </cell>
        </row>
        <row r="2050">
          <cell r="B2050" t="str">
            <v>1459-5YY0141</v>
          </cell>
          <cell r="C2050" t="str">
            <v>M19</v>
          </cell>
        </row>
        <row r="2051">
          <cell r="B2051" t="str">
            <v>1459-5YY0150/MX</v>
          </cell>
          <cell r="C2051" t="str">
            <v>M19</v>
          </cell>
        </row>
        <row r="2052">
          <cell r="B2052" t="str">
            <v>1459-5YY0151/MX</v>
          </cell>
          <cell r="C2052" t="str">
            <v>M19</v>
          </cell>
        </row>
        <row r="2053">
          <cell r="B2053" t="str">
            <v>1459-5YY0160</v>
          </cell>
          <cell r="C2053" t="str">
            <v>M19</v>
          </cell>
        </row>
        <row r="2054">
          <cell r="B2054" t="str">
            <v>1459-5YY0160EN</v>
          </cell>
          <cell r="C2054" t="str">
            <v>M19</v>
          </cell>
        </row>
        <row r="2055">
          <cell r="B2055" t="str">
            <v>1459-5YY0161</v>
          </cell>
          <cell r="C2055" t="str">
            <v>M19</v>
          </cell>
        </row>
        <row r="2056">
          <cell r="B2056" t="str">
            <v>1459-5YY0161EN</v>
          </cell>
          <cell r="C2056" t="str">
            <v>M19</v>
          </cell>
        </row>
        <row r="2057">
          <cell r="B2057" t="str">
            <v>1459-5YY0166/MX</v>
          </cell>
          <cell r="C2057" t="str">
            <v>M19</v>
          </cell>
        </row>
        <row r="2058">
          <cell r="B2058" t="str">
            <v>1459-5YY0168/MX</v>
          </cell>
          <cell r="C2058" t="str">
            <v>M19</v>
          </cell>
        </row>
        <row r="2059">
          <cell r="B2059" t="str">
            <v>1459-5YY0191EN</v>
          </cell>
          <cell r="C2059" t="str">
            <v>M19</v>
          </cell>
        </row>
        <row r="2060">
          <cell r="B2060" t="str">
            <v>1459-5YY0225</v>
          </cell>
          <cell r="C2060" t="str">
            <v>M19</v>
          </cell>
        </row>
        <row r="2061">
          <cell r="B2061" t="str">
            <v>1459-5YY0226</v>
          </cell>
          <cell r="C2061" t="str">
            <v>M19</v>
          </cell>
        </row>
        <row r="2062">
          <cell r="B2062" t="str">
            <v>1459-5YY0227</v>
          </cell>
          <cell r="C2062" t="str">
            <v>M19</v>
          </cell>
        </row>
        <row r="2063">
          <cell r="B2063" t="str">
            <v>1459-5YY0228</v>
          </cell>
          <cell r="C2063" t="str">
            <v>M19</v>
          </cell>
        </row>
        <row r="2064">
          <cell r="B2064" t="str">
            <v>1459-5YY0324EN</v>
          </cell>
          <cell r="C2064" t="str">
            <v>M19</v>
          </cell>
        </row>
        <row r="2065">
          <cell r="B2065" t="str">
            <v>1459-5YY0363EN</v>
          </cell>
          <cell r="C2065" t="str">
            <v>M19</v>
          </cell>
        </row>
        <row r="2066">
          <cell r="B2066" t="str">
            <v>1459-5YY0364EN</v>
          </cell>
          <cell r="C2066" t="str">
            <v>M19</v>
          </cell>
        </row>
        <row r="2067">
          <cell r="B2067" t="str">
            <v>1474-5YY0001</v>
          </cell>
          <cell r="C2067" t="str">
            <v>M19</v>
          </cell>
        </row>
        <row r="2068">
          <cell r="B2068" t="str">
            <v>1474-5YY0003</v>
          </cell>
          <cell r="C2068" t="str">
            <v>M19</v>
          </cell>
        </row>
        <row r="2069">
          <cell r="B2069" t="str">
            <v>1474-5YY0004</v>
          </cell>
          <cell r="C2069" t="str">
            <v>M19</v>
          </cell>
        </row>
        <row r="2070">
          <cell r="B2070" t="str">
            <v>1474-5YY0005</v>
          </cell>
          <cell r="C2070" t="str">
            <v>M19</v>
          </cell>
        </row>
        <row r="2071">
          <cell r="B2071" t="str">
            <v>1474-5YY0007</v>
          </cell>
          <cell r="C2071" t="str">
            <v>M19</v>
          </cell>
        </row>
        <row r="2072">
          <cell r="B2072" t="str">
            <v>1481-5YY0029/MX</v>
          </cell>
          <cell r="C2072" t="str">
            <v>M19</v>
          </cell>
        </row>
        <row r="2073">
          <cell r="B2073" t="str">
            <v>1481-5YY0030/MX</v>
          </cell>
          <cell r="C2073" t="str">
            <v>M19</v>
          </cell>
        </row>
        <row r="2074">
          <cell r="B2074" t="str">
            <v>1481-5YY0031/MX</v>
          </cell>
          <cell r="C2074" t="str">
            <v>M19</v>
          </cell>
        </row>
        <row r="2075">
          <cell r="B2075" t="str">
            <v>1481-5YY0044/MX</v>
          </cell>
          <cell r="C2075" t="str">
            <v>M19</v>
          </cell>
        </row>
        <row r="2076">
          <cell r="B2076" t="str">
            <v>1481-5YY0045/MX</v>
          </cell>
          <cell r="C2076" t="str">
            <v>M19</v>
          </cell>
        </row>
        <row r="2077">
          <cell r="B2077" t="str">
            <v>1481-5YY0046</v>
          </cell>
          <cell r="C2077" t="str">
            <v>M19</v>
          </cell>
        </row>
        <row r="2078">
          <cell r="B2078" t="str">
            <v>1481-5YY0047</v>
          </cell>
          <cell r="C2078" t="str">
            <v>M19</v>
          </cell>
        </row>
        <row r="2079">
          <cell r="B2079" t="str">
            <v>1481-5YY0049</v>
          </cell>
          <cell r="C2079" t="str">
            <v>M19</v>
          </cell>
        </row>
        <row r="2080">
          <cell r="B2080" t="str">
            <v>1481-5YY0053</v>
          </cell>
          <cell r="C2080" t="str">
            <v>M19</v>
          </cell>
        </row>
        <row r="2081">
          <cell r="B2081" t="str">
            <v>1481-5YY0082</v>
          </cell>
          <cell r="C2081" t="str">
            <v>M19</v>
          </cell>
        </row>
        <row r="2082">
          <cell r="B2082" t="str">
            <v>1500-10P0018/MX</v>
          </cell>
          <cell r="C2082" t="str">
            <v>M19</v>
          </cell>
        </row>
        <row r="2083">
          <cell r="B2083" t="str">
            <v>1500-1YY0540/MX</v>
          </cell>
          <cell r="C2083" t="str">
            <v>M19</v>
          </cell>
        </row>
        <row r="2084">
          <cell r="B2084" t="str">
            <v>1500-1YY0605/MX</v>
          </cell>
          <cell r="C2084" t="str">
            <v>M19</v>
          </cell>
        </row>
        <row r="2085">
          <cell r="B2085" t="str">
            <v>1500-1YY0621/MX</v>
          </cell>
          <cell r="C2085" t="str">
            <v>M19</v>
          </cell>
        </row>
        <row r="2086">
          <cell r="B2086" t="str">
            <v>1500-1YY0640</v>
          </cell>
          <cell r="C2086" t="str">
            <v>M19</v>
          </cell>
        </row>
        <row r="2087">
          <cell r="B2087" t="str">
            <v>1500-1YY0641/MX</v>
          </cell>
          <cell r="C2087" t="str">
            <v>M19</v>
          </cell>
        </row>
        <row r="2088">
          <cell r="B2088" t="str">
            <v>1500-1YY0719/MX</v>
          </cell>
          <cell r="C2088" t="str">
            <v>M19</v>
          </cell>
        </row>
        <row r="2089">
          <cell r="B2089" t="str">
            <v>1500-1YY0783/MX</v>
          </cell>
          <cell r="C2089" t="str">
            <v>M19</v>
          </cell>
        </row>
        <row r="2090">
          <cell r="B2090" t="str">
            <v>1500-1YY0845/MX</v>
          </cell>
          <cell r="C2090" t="str">
            <v>M19</v>
          </cell>
        </row>
        <row r="2091">
          <cell r="B2091" t="str">
            <v>1500-1YY0852/MX</v>
          </cell>
          <cell r="C2091" t="str">
            <v>M19</v>
          </cell>
        </row>
        <row r="2092">
          <cell r="B2092" t="str">
            <v>1500-1YY0962/MX</v>
          </cell>
          <cell r="C2092" t="str">
            <v>M19</v>
          </cell>
        </row>
        <row r="2093">
          <cell r="B2093" t="str">
            <v>1500-1YY0963/MX</v>
          </cell>
          <cell r="C2093" t="str">
            <v>M19</v>
          </cell>
        </row>
        <row r="2094">
          <cell r="B2094" t="str">
            <v>1500-1YY0989/MX</v>
          </cell>
          <cell r="C2094" t="str">
            <v>M19</v>
          </cell>
        </row>
        <row r="2095">
          <cell r="B2095" t="str">
            <v>1500-1YY1011/MX</v>
          </cell>
          <cell r="C2095" t="str">
            <v>M19</v>
          </cell>
        </row>
        <row r="2096">
          <cell r="B2096" t="str">
            <v>1500-1YY1199/MX</v>
          </cell>
          <cell r="C2096" t="str">
            <v>M19</v>
          </cell>
        </row>
        <row r="2097">
          <cell r="B2097" t="str">
            <v>1500-1YY1213</v>
          </cell>
          <cell r="C2097" t="str">
            <v>M19</v>
          </cell>
        </row>
        <row r="2098">
          <cell r="B2098" t="str">
            <v>1500-1YY1213/MX</v>
          </cell>
          <cell r="C2098" t="str">
            <v>M19</v>
          </cell>
        </row>
        <row r="2099">
          <cell r="B2099" t="str">
            <v>1500-1YY1217/MX</v>
          </cell>
          <cell r="C2099" t="str">
            <v>M19</v>
          </cell>
        </row>
        <row r="2100">
          <cell r="B2100" t="str">
            <v>1500-1YY1226/MX</v>
          </cell>
          <cell r="C2100" t="str">
            <v>M19</v>
          </cell>
        </row>
        <row r="2101">
          <cell r="B2101" t="str">
            <v>1500-1YY1227/MX</v>
          </cell>
          <cell r="C2101" t="str">
            <v>M19</v>
          </cell>
        </row>
        <row r="2102">
          <cell r="B2102" t="str">
            <v>1500-1YY1241</v>
          </cell>
          <cell r="C2102" t="str">
            <v>M19</v>
          </cell>
        </row>
        <row r="2103">
          <cell r="B2103" t="str">
            <v>1500-1YY1252/MX</v>
          </cell>
          <cell r="C2103" t="str">
            <v>M19</v>
          </cell>
        </row>
        <row r="2104">
          <cell r="B2104" t="str">
            <v>1500-1YY1253/MX</v>
          </cell>
          <cell r="C2104" t="str">
            <v>M19</v>
          </cell>
        </row>
        <row r="2105">
          <cell r="B2105" t="str">
            <v>1500-1YY1272</v>
          </cell>
          <cell r="C2105" t="str">
            <v>M19</v>
          </cell>
        </row>
        <row r="2106">
          <cell r="B2106" t="str">
            <v>1500-1YY1348</v>
          </cell>
          <cell r="C2106" t="str">
            <v>M19</v>
          </cell>
        </row>
        <row r="2107">
          <cell r="B2107" t="str">
            <v>1500-1YY1369</v>
          </cell>
          <cell r="C2107" t="str">
            <v>M19</v>
          </cell>
        </row>
        <row r="2108">
          <cell r="B2108" t="str">
            <v>1500-1YY1370</v>
          </cell>
          <cell r="C2108" t="str">
            <v>M19</v>
          </cell>
        </row>
        <row r="2109">
          <cell r="B2109" t="str">
            <v>1500-1YY1466</v>
          </cell>
          <cell r="C2109" t="str">
            <v>M19</v>
          </cell>
        </row>
        <row r="2110">
          <cell r="B2110" t="str">
            <v>1500-1YY1496</v>
          </cell>
          <cell r="C2110" t="str">
            <v>M19</v>
          </cell>
        </row>
        <row r="2111">
          <cell r="B2111" t="str">
            <v>1500-1YY1611</v>
          </cell>
          <cell r="C2111" t="str">
            <v>M19</v>
          </cell>
        </row>
        <row r="2112">
          <cell r="B2112" t="str">
            <v>1500-1YY1659</v>
          </cell>
          <cell r="C2112" t="str">
            <v>M19</v>
          </cell>
        </row>
        <row r="2113">
          <cell r="B2113" t="str">
            <v>1500-1YY1706</v>
          </cell>
          <cell r="C2113" t="str">
            <v>M19</v>
          </cell>
        </row>
        <row r="2114">
          <cell r="B2114" t="str">
            <v>1500-1YY1707</v>
          </cell>
          <cell r="C2114" t="str">
            <v>M19</v>
          </cell>
        </row>
        <row r="2115">
          <cell r="B2115" t="str">
            <v>1500-1YY1757</v>
          </cell>
          <cell r="C2115" t="str">
            <v>M19</v>
          </cell>
        </row>
        <row r="2116">
          <cell r="B2116" t="str">
            <v>1500-1YY1839</v>
          </cell>
          <cell r="C2116" t="str">
            <v>M19</v>
          </cell>
        </row>
        <row r="2117">
          <cell r="B2117" t="str">
            <v>1500-1YY1840</v>
          </cell>
          <cell r="C2117" t="str">
            <v>M19</v>
          </cell>
        </row>
        <row r="2118">
          <cell r="B2118" t="str">
            <v>1500-1YY1841</v>
          </cell>
          <cell r="C2118" t="str">
            <v>M19</v>
          </cell>
        </row>
        <row r="2119">
          <cell r="B2119" t="str">
            <v>1500-1YY1842</v>
          </cell>
          <cell r="C2119" t="str">
            <v>M19</v>
          </cell>
        </row>
        <row r="2120">
          <cell r="B2120" t="str">
            <v>1500-1YY1843</v>
          </cell>
          <cell r="C2120" t="str">
            <v>M19</v>
          </cell>
        </row>
        <row r="2121">
          <cell r="B2121" t="str">
            <v>1504-10P0004-01</v>
          </cell>
          <cell r="C2121" t="str">
            <v>M19</v>
          </cell>
        </row>
        <row r="2122">
          <cell r="B2122" t="str">
            <v>1504-10P0004-02</v>
          </cell>
          <cell r="C2122" t="str">
            <v>M19</v>
          </cell>
        </row>
        <row r="2123">
          <cell r="B2123" t="str">
            <v>1504-10P0004-03</v>
          </cell>
          <cell r="C2123" t="str">
            <v>M19</v>
          </cell>
        </row>
        <row r="2124">
          <cell r="B2124" t="str">
            <v>1504-10P0004-04</v>
          </cell>
          <cell r="C2124" t="str">
            <v>M19</v>
          </cell>
        </row>
        <row r="2125">
          <cell r="B2125" t="str">
            <v>1504-10P0004-05</v>
          </cell>
          <cell r="C2125" t="str">
            <v>M19</v>
          </cell>
        </row>
        <row r="2126">
          <cell r="B2126" t="str">
            <v>1504-1YY0289</v>
          </cell>
          <cell r="C2126" t="str">
            <v>M19</v>
          </cell>
        </row>
        <row r="2127">
          <cell r="B2127" t="str">
            <v>1504-1YY0289-01</v>
          </cell>
          <cell r="C2127" t="str">
            <v>M19</v>
          </cell>
        </row>
        <row r="2128">
          <cell r="B2128" t="str">
            <v>1504-1YY0289-02</v>
          </cell>
          <cell r="C2128" t="str">
            <v>M19</v>
          </cell>
        </row>
        <row r="2129">
          <cell r="B2129" t="str">
            <v>1504-1YY0289-03</v>
          </cell>
          <cell r="C2129" t="str">
            <v>M19</v>
          </cell>
        </row>
        <row r="2130">
          <cell r="B2130" t="str">
            <v>1504-1YY0289-04</v>
          </cell>
          <cell r="C2130" t="str">
            <v>M19</v>
          </cell>
        </row>
        <row r="2131">
          <cell r="B2131" t="str">
            <v>1504-1YY0289-05</v>
          </cell>
          <cell r="C2131" t="str">
            <v>M19</v>
          </cell>
        </row>
        <row r="2132">
          <cell r="B2132" t="str">
            <v>1504-1YY0289-06</v>
          </cell>
          <cell r="C2132" t="str">
            <v>M19</v>
          </cell>
        </row>
        <row r="2133">
          <cell r="B2133" t="str">
            <v>1504-1YY0289-07</v>
          </cell>
          <cell r="C2133" t="str">
            <v>M19</v>
          </cell>
        </row>
        <row r="2134">
          <cell r="B2134" t="str">
            <v>1504-1YY0295</v>
          </cell>
          <cell r="C2134" t="str">
            <v>M19</v>
          </cell>
        </row>
        <row r="2135">
          <cell r="B2135" t="str">
            <v>1504-1YY0295-01</v>
          </cell>
          <cell r="C2135" t="str">
            <v>M19</v>
          </cell>
        </row>
        <row r="2136">
          <cell r="B2136" t="str">
            <v>1504-1YY0295-02</v>
          </cell>
          <cell r="C2136" t="str">
            <v>M19</v>
          </cell>
        </row>
        <row r="2137">
          <cell r="B2137" t="str">
            <v>1504-1YY0295-03</v>
          </cell>
          <cell r="C2137" t="str">
            <v>M19</v>
          </cell>
        </row>
        <row r="2138">
          <cell r="B2138" t="str">
            <v>1504-1YY0295-04</v>
          </cell>
          <cell r="C2138" t="str">
            <v>M19</v>
          </cell>
        </row>
        <row r="2139">
          <cell r="B2139" t="str">
            <v>1504-1YY0295-05</v>
          </cell>
          <cell r="C2139" t="str">
            <v>M19</v>
          </cell>
        </row>
        <row r="2140">
          <cell r="B2140" t="str">
            <v>1504-1YY0295-06</v>
          </cell>
          <cell r="C2140" t="str">
            <v>M19</v>
          </cell>
        </row>
        <row r="2141">
          <cell r="B2141" t="str">
            <v>1504-1YY0304-01</v>
          </cell>
          <cell r="C2141" t="str">
            <v>M19</v>
          </cell>
        </row>
        <row r="2142">
          <cell r="B2142" t="str">
            <v>1504-1YY0304-02</v>
          </cell>
          <cell r="C2142" t="str">
            <v>M19</v>
          </cell>
        </row>
        <row r="2143">
          <cell r="B2143" t="str">
            <v>1504-1YY0321-02</v>
          </cell>
          <cell r="C2143" t="str">
            <v>M19</v>
          </cell>
        </row>
        <row r="2144">
          <cell r="B2144" t="str">
            <v>1504-1YY0321-03</v>
          </cell>
          <cell r="C2144" t="str">
            <v>M19</v>
          </cell>
        </row>
        <row r="2145">
          <cell r="B2145" t="str">
            <v>1504-1YY0370</v>
          </cell>
          <cell r="C2145" t="str">
            <v>M19</v>
          </cell>
        </row>
        <row r="2146">
          <cell r="B2146" t="str">
            <v>1504-1YY0376</v>
          </cell>
          <cell r="C2146" t="str">
            <v>M19</v>
          </cell>
        </row>
        <row r="2147">
          <cell r="B2147" t="str">
            <v>1504-1YY0376-01</v>
          </cell>
          <cell r="C2147" t="str">
            <v>M19</v>
          </cell>
        </row>
        <row r="2148">
          <cell r="B2148" t="str">
            <v>1504-1YY0376-02</v>
          </cell>
          <cell r="C2148" t="str">
            <v>M19</v>
          </cell>
        </row>
        <row r="2149">
          <cell r="B2149" t="str">
            <v>1504-1YY0376-03</v>
          </cell>
          <cell r="C2149" t="str">
            <v>M19</v>
          </cell>
        </row>
        <row r="2150">
          <cell r="B2150" t="str">
            <v>1504-1YY0376-04</v>
          </cell>
          <cell r="C2150" t="str">
            <v>M19</v>
          </cell>
        </row>
        <row r="2151">
          <cell r="B2151" t="str">
            <v>1504-1YY0414</v>
          </cell>
          <cell r="C2151" t="str">
            <v>M19</v>
          </cell>
        </row>
        <row r="2152">
          <cell r="B2152" t="str">
            <v>1504-1YY0440</v>
          </cell>
          <cell r="C2152" t="str">
            <v>M19</v>
          </cell>
        </row>
        <row r="2153">
          <cell r="B2153" t="str">
            <v>1504-1YY0487</v>
          </cell>
          <cell r="C2153" t="str">
            <v>M19</v>
          </cell>
        </row>
        <row r="2154">
          <cell r="B2154" t="str">
            <v>1504-1YY0501</v>
          </cell>
          <cell r="C2154" t="str">
            <v>M19</v>
          </cell>
        </row>
        <row r="2155">
          <cell r="B2155" t="str">
            <v>1504-1YY0504</v>
          </cell>
          <cell r="C2155" t="str">
            <v>M19</v>
          </cell>
        </row>
        <row r="2156">
          <cell r="B2156" t="str">
            <v>1504-1YY0515</v>
          </cell>
          <cell r="C2156" t="str">
            <v>M19</v>
          </cell>
        </row>
        <row r="2157">
          <cell r="B2157" t="str">
            <v>1504-1YY0519</v>
          </cell>
          <cell r="C2157" t="str">
            <v>M19</v>
          </cell>
        </row>
        <row r="2158">
          <cell r="B2158" t="str">
            <v>1504-1YY0531</v>
          </cell>
          <cell r="C2158" t="str">
            <v>M19</v>
          </cell>
        </row>
        <row r="2159">
          <cell r="B2159" t="str">
            <v>1504-1YY0554</v>
          </cell>
          <cell r="C2159" t="str">
            <v>M19</v>
          </cell>
        </row>
        <row r="2160">
          <cell r="B2160" t="str">
            <v>1504-1YY0564</v>
          </cell>
          <cell r="C2160" t="str">
            <v>M19</v>
          </cell>
        </row>
        <row r="2161">
          <cell r="B2161" t="str">
            <v>1504-1YY0600</v>
          </cell>
          <cell r="C2161" t="str">
            <v>M19</v>
          </cell>
        </row>
        <row r="2162">
          <cell r="B2162" t="str">
            <v>1515-1YY0005</v>
          </cell>
          <cell r="C2162" t="str">
            <v>M19</v>
          </cell>
        </row>
        <row r="2163">
          <cell r="B2163" t="str">
            <v>1532-1YY0003</v>
          </cell>
          <cell r="C2163" t="str">
            <v>M19</v>
          </cell>
        </row>
        <row r="2164">
          <cell r="B2164" t="str">
            <v>1532-1YY0004</v>
          </cell>
          <cell r="C2164" t="str">
            <v>M19</v>
          </cell>
        </row>
        <row r="2165">
          <cell r="B2165" t="str">
            <v>1532-1YY0005</v>
          </cell>
          <cell r="C2165" t="str">
            <v>M19</v>
          </cell>
        </row>
        <row r="2166">
          <cell r="B2166" t="str">
            <v>1533-1070003</v>
          </cell>
          <cell r="C2166" t="str">
            <v>M19</v>
          </cell>
        </row>
        <row r="2167">
          <cell r="B2167" t="str">
            <v>1533-10C0020</v>
          </cell>
          <cell r="C2167" t="str">
            <v>M19</v>
          </cell>
        </row>
        <row r="2168">
          <cell r="B2168" t="str">
            <v>1533-10P0052</v>
          </cell>
          <cell r="C2168" t="str">
            <v>M19</v>
          </cell>
        </row>
        <row r="2169">
          <cell r="B2169" t="str">
            <v>1533-10P0056</v>
          </cell>
          <cell r="C2169" t="str">
            <v>M19</v>
          </cell>
        </row>
        <row r="2170">
          <cell r="B2170" t="str">
            <v>1533-1140008</v>
          </cell>
          <cell r="C2170" t="str">
            <v>M19</v>
          </cell>
        </row>
        <row r="2171">
          <cell r="B2171" t="str">
            <v>1533-1YY0007</v>
          </cell>
          <cell r="C2171" t="str">
            <v>M19</v>
          </cell>
        </row>
        <row r="2172">
          <cell r="B2172" t="str">
            <v>1539-10P0007</v>
          </cell>
          <cell r="C2172" t="str">
            <v>M19</v>
          </cell>
        </row>
        <row r="2173">
          <cell r="B2173" t="str">
            <v>1539-10P0010</v>
          </cell>
          <cell r="C2173" t="str">
            <v>M19</v>
          </cell>
        </row>
        <row r="2174">
          <cell r="B2174" t="str">
            <v>1539-1YY0088</v>
          </cell>
          <cell r="C2174" t="str">
            <v>M19</v>
          </cell>
        </row>
        <row r="2175">
          <cell r="B2175" t="str">
            <v>1539-1YY0090</v>
          </cell>
          <cell r="C2175" t="str">
            <v>M19</v>
          </cell>
        </row>
        <row r="2176">
          <cell r="B2176" t="str">
            <v>1543-1030002</v>
          </cell>
          <cell r="C2176" t="str">
            <v>M19</v>
          </cell>
        </row>
        <row r="2177">
          <cell r="B2177" t="str">
            <v>1543-1YY0005</v>
          </cell>
          <cell r="C2177" t="str">
            <v>M19</v>
          </cell>
        </row>
        <row r="2178">
          <cell r="B2178" t="str">
            <v>1560-1YY0064</v>
          </cell>
          <cell r="C2178" t="str">
            <v>M19</v>
          </cell>
        </row>
        <row r="2179">
          <cell r="B2179" t="str">
            <v>1560-1YY0090</v>
          </cell>
          <cell r="C2179" t="str">
            <v>M19</v>
          </cell>
        </row>
        <row r="2180">
          <cell r="B2180" t="str">
            <v>1560-1YY0091</v>
          </cell>
          <cell r="C2180" t="str">
            <v>M19</v>
          </cell>
        </row>
        <row r="2181">
          <cell r="B2181" t="str">
            <v>1560-1YY0094</v>
          </cell>
          <cell r="C2181" t="str">
            <v>M19</v>
          </cell>
        </row>
        <row r="2182">
          <cell r="B2182" t="str">
            <v>1572-1YY0049</v>
          </cell>
          <cell r="C2182" t="str">
            <v>M19</v>
          </cell>
        </row>
        <row r="2183">
          <cell r="B2183" t="str">
            <v>1573-1YY0010</v>
          </cell>
          <cell r="C2183" t="str">
            <v>M19</v>
          </cell>
        </row>
        <row r="2184">
          <cell r="B2184" t="str">
            <v>1602-1YY0001-MT</v>
          </cell>
          <cell r="C2184" t="str">
            <v>M19</v>
          </cell>
        </row>
        <row r="2185">
          <cell r="B2185" t="str">
            <v>1605-1YY0017-MT</v>
          </cell>
          <cell r="C2185" t="str">
            <v>M19</v>
          </cell>
        </row>
        <row r="2186">
          <cell r="B2186" t="str">
            <v>1605-1YY0018-MT</v>
          </cell>
          <cell r="C2186" t="str">
            <v>M19</v>
          </cell>
        </row>
        <row r="2187">
          <cell r="B2187" t="str">
            <v>1605-1YY0019-MT</v>
          </cell>
          <cell r="C2187" t="str">
            <v>M19</v>
          </cell>
        </row>
        <row r="2188">
          <cell r="B2188" t="str">
            <v>1605-1YY0020-MT</v>
          </cell>
          <cell r="C2188" t="str">
            <v>M19</v>
          </cell>
        </row>
        <row r="2189">
          <cell r="B2189" t="str">
            <v>1605-1YY0048-MT</v>
          </cell>
          <cell r="C2189" t="str">
            <v>M19</v>
          </cell>
        </row>
        <row r="2190">
          <cell r="B2190" t="str">
            <v>1606-1YY0034-MT</v>
          </cell>
          <cell r="C2190" t="str">
            <v>M19</v>
          </cell>
        </row>
        <row r="2191">
          <cell r="B2191" t="str">
            <v>1606-5YY3015</v>
          </cell>
          <cell r="C2191" t="str">
            <v>M19</v>
          </cell>
        </row>
        <row r="2192">
          <cell r="B2192" t="str">
            <v>1606-5YY3018</v>
          </cell>
          <cell r="C2192" t="str">
            <v>M19</v>
          </cell>
        </row>
        <row r="2193">
          <cell r="B2193" t="str">
            <v>1606-5YY3019</v>
          </cell>
          <cell r="C2193" t="str">
            <v>M19</v>
          </cell>
        </row>
        <row r="2194">
          <cell r="B2194" t="str">
            <v>1606-5YY3020</v>
          </cell>
          <cell r="C2194" t="str">
            <v>M19</v>
          </cell>
        </row>
        <row r="2195">
          <cell r="B2195" t="str">
            <v>1606-5YY3021</v>
          </cell>
          <cell r="C2195" t="str">
            <v>M19</v>
          </cell>
        </row>
        <row r="2196">
          <cell r="B2196" t="str">
            <v>1606-5YY3021EN</v>
          </cell>
          <cell r="C2196" t="str">
            <v>M19</v>
          </cell>
        </row>
        <row r="2197">
          <cell r="B2197" t="str">
            <v>1606-5YY5012</v>
          </cell>
          <cell r="C2197" t="str">
            <v>M19</v>
          </cell>
        </row>
        <row r="2198">
          <cell r="B2198" t="str">
            <v>1606-5YY5022EN</v>
          </cell>
          <cell r="C2198" t="str">
            <v>M19</v>
          </cell>
        </row>
        <row r="2199">
          <cell r="B2199" t="str">
            <v>1606-5YY5023</v>
          </cell>
          <cell r="C2199" t="str">
            <v>M19</v>
          </cell>
        </row>
        <row r="2200">
          <cell r="B2200" t="str">
            <v>1606-5YY5024EN</v>
          </cell>
          <cell r="C2200" t="str">
            <v>M19</v>
          </cell>
        </row>
        <row r="2201">
          <cell r="B2201" t="str">
            <v>1606-5YY5026EN</v>
          </cell>
          <cell r="C2201" t="str">
            <v>M19</v>
          </cell>
        </row>
        <row r="2202">
          <cell r="B2202" t="str">
            <v>1610-5YY0002/MX</v>
          </cell>
          <cell r="C2202" t="str">
            <v>M19</v>
          </cell>
        </row>
        <row r="2203">
          <cell r="B2203" t="str">
            <v>1610-5YY0003/MX</v>
          </cell>
          <cell r="C2203" t="str">
            <v>M19</v>
          </cell>
        </row>
        <row r="2204">
          <cell r="B2204" t="str">
            <v>1610-5YY0007</v>
          </cell>
          <cell r="C2204" t="str">
            <v>M19</v>
          </cell>
        </row>
        <row r="2205">
          <cell r="B2205" t="str">
            <v>1611-1YY0002-MT</v>
          </cell>
          <cell r="C2205" t="str">
            <v>M19</v>
          </cell>
        </row>
        <row r="2206">
          <cell r="B2206" t="str">
            <v>1613-1150001-MC</v>
          </cell>
          <cell r="C2206" t="str">
            <v>M19</v>
          </cell>
        </row>
        <row r="2207">
          <cell r="B2207" t="str">
            <v>1613-1YY0007-MT</v>
          </cell>
          <cell r="C2207" t="str">
            <v>M19</v>
          </cell>
        </row>
        <row r="2208">
          <cell r="B2208" t="str">
            <v>1613-1YY0013-MC</v>
          </cell>
          <cell r="C2208" t="str">
            <v>M19</v>
          </cell>
        </row>
        <row r="2209">
          <cell r="B2209" t="str">
            <v>1613-1YY0014-MC</v>
          </cell>
          <cell r="C2209" t="str">
            <v>M19</v>
          </cell>
        </row>
        <row r="2210">
          <cell r="B2210" t="str">
            <v>1613-1YY0015-MC</v>
          </cell>
          <cell r="C2210" t="str">
            <v>M19</v>
          </cell>
        </row>
        <row r="2211">
          <cell r="B2211" t="str">
            <v>1615-1YY0133-MT</v>
          </cell>
          <cell r="C2211" t="str">
            <v>M19</v>
          </cell>
        </row>
        <row r="2212">
          <cell r="B2212" t="str">
            <v>1615-1YY0134-MT</v>
          </cell>
          <cell r="C2212" t="str">
            <v>M19</v>
          </cell>
        </row>
        <row r="2213">
          <cell r="B2213" t="str">
            <v>1615-1YY0135-MT</v>
          </cell>
          <cell r="C2213" t="str">
            <v>M19</v>
          </cell>
        </row>
        <row r="2214">
          <cell r="B2214" t="str">
            <v>1615-1YY0136-MT</v>
          </cell>
          <cell r="C2214" t="str">
            <v>M19</v>
          </cell>
        </row>
        <row r="2215">
          <cell r="B2215" t="str">
            <v>1615-1YY0137-MT</v>
          </cell>
          <cell r="C2215" t="str">
            <v>M19</v>
          </cell>
        </row>
        <row r="2216">
          <cell r="B2216" t="str">
            <v>1615-1YY0138-MT</v>
          </cell>
          <cell r="C2216" t="str">
            <v>M19</v>
          </cell>
        </row>
        <row r="2217">
          <cell r="B2217" t="str">
            <v>1615-1YY0139-MT</v>
          </cell>
          <cell r="C2217" t="str">
            <v>M19</v>
          </cell>
        </row>
        <row r="2218">
          <cell r="B2218" t="str">
            <v>1615-1YY0140-MT</v>
          </cell>
          <cell r="C2218" t="str">
            <v>M19</v>
          </cell>
        </row>
        <row r="2219">
          <cell r="B2219" t="str">
            <v>1615-1YY0141-MT</v>
          </cell>
          <cell r="C2219" t="str">
            <v>M19</v>
          </cell>
        </row>
        <row r="2220">
          <cell r="B2220" t="str">
            <v>1615-1YY0143-MT</v>
          </cell>
          <cell r="C2220" t="str">
            <v>M19</v>
          </cell>
        </row>
        <row r="2221">
          <cell r="B2221" t="str">
            <v>1615-1YY0150-MT</v>
          </cell>
          <cell r="C2221" t="str">
            <v>M19</v>
          </cell>
        </row>
        <row r="2222">
          <cell r="B2222" t="str">
            <v>1615-1YY0151-MT</v>
          </cell>
          <cell r="C2222" t="str">
            <v>M19</v>
          </cell>
        </row>
        <row r="2223">
          <cell r="B2223" t="str">
            <v>1615-1YY0152-MT</v>
          </cell>
          <cell r="C2223" t="str">
            <v>M19</v>
          </cell>
        </row>
        <row r="2224">
          <cell r="B2224" t="str">
            <v>1615-1YY0157-MT</v>
          </cell>
          <cell r="C2224" t="str">
            <v>M19</v>
          </cell>
        </row>
        <row r="2225">
          <cell r="B2225" t="str">
            <v>1615-1YY0163-MT</v>
          </cell>
          <cell r="C2225" t="str">
            <v>M19</v>
          </cell>
        </row>
        <row r="2226">
          <cell r="B2226" t="str">
            <v>1615-1YY0164-MT</v>
          </cell>
          <cell r="C2226" t="str">
            <v>M19</v>
          </cell>
        </row>
        <row r="2227">
          <cell r="B2227" t="str">
            <v>1615-1YY0165-MT</v>
          </cell>
          <cell r="C2227" t="str">
            <v>M19</v>
          </cell>
        </row>
        <row r="2228">
          <cell r="B2228" t="str">
            <v>1615-1YY0166-MT</v>
          </cell>
          <cell r="C2228" t="str">
            <v>M19</v>
          </cell>
        </row>
        <row r="2229">
          <cell r="B2229" t="str">
            <v>1615-1YY0167-MT</v>
          </cell>
          <cell r="C2229" t="str">
            <v>M19</v>
          </cell>
        </row>
        <row r="2230">
          <cell r="B2230" t="str">
            <v>1615-1YY0168-MT</v>
          </cell>
          <cell r="C2230" t="str">
            <v>M19</v>
          </cell>
        </row>
        <row r="2231">
          <cell r="B2231" t="str">
            <v>1615-1YY0169-MT</v>
          </cell>
          <cell r="C2231" t="str">
            <v>M19</v>
          </cell>
        </row>
        <row r="2232">
          <cell r="B2232" t="str">
            <v>1615-1YY0170-MT</v>
          </cell>
          <cell r="C2232" t="str">
            <v>M19</v>
          </cell>
        </row>
        <row r="2233">
          <cell r="B2233" t="str">
            <v>1615-1YY0171-MT</v>
          </cell>
          <cell r="C2233" t="str">
            <v>M19</v>
          </cell>
        </row>
        <row r="2234">
          <cell r="B2234" t="str">
            <v>1615-1YY0172-MT</v>
          </cell>
          <cell r="C2234" t="str">
            <v>M19</v>
          </cell>
        </row>
        <row r="2235">
          <cell r="B2235" t="str">
            <v>1615-1YY0173-MT</v>
          </cell>
          <cell r="C2235" t="str">
            <v>M19</v>
          </cell>
        </row>
        <row r="2236">
          <cell r="B2236" t="str">
            <v>1615-1YY0174-MT</v>
          </cell>
          <cell r="C2236" t="str">
            <v>M19</v>
          </cell>
        </row>
        <row r="2237">
          <cell r="B2237" t="str">
            <v>1615-1YY0175-MT</v>
          </cell>
          <cell r="C2237" t="str">
            <v>M19</v>
          </cell>
        </row>
        <row r="2238">
          <cell r="B2238" t="str">
            <v>1615-1YY0176-MT</v>
          </cell>
          <cell r="C2238" t="str">
            <v>M19</v>
          </cell>
        </row>
        <row r="2239">
          <cell r="B2239" t="str">
            <v>1615-1YY0177-MT</v>
          </cell>
          <cell r="C2239" t="str">
            <v>M19</v>
          </cell>
        </row>
        <row r="2240">
          <cell r="B2240" t="str">
            <v>1615-1YY0178-MT</v>
          </cell>
          <cell r="C2240" t="str">
            <v>M19</v>
          </cell>
        </row>
        <row r="2241">
          <cell r="B2241" t="str">
            <v>1615-1YY0179-MT</v>
          </cell>
          <cell r="C2241" t="str">
            <v>M19</v>
          </cell>
        </row>
        <row r="2242">
          <cell r="B2242" t="str">
            <v>1615-1YY0180-MT</v>
          </cell>
          <cell r="C2242" t="str">
            <v>M19</v>
          </cell>
        </row>
        <row r="2243">
          <cell r="B2243" t="str">
            <v>1615-1YY0181-MT</v>
          </cell>
          <cell r="C2243" t="str">
            <v>M19</v>
          </cell>
        </row>
        <row r="2244">
          <cell r="B2244" t="str">
            <v>1615-1YY0184-MT</v>
          </cell>
          <cell r="C2244" t="str">
            <v>M19</v>
          </cell>
        </row>
        <row r="2245">
          <cell r="B2245" t="str">
            <v>1615-1YY0186-MT</v>
          </cell>
          <cell r="C2245" t="str">
            <v>M19</v>
          </cell>
        </row>
        <row r="2246">
          <cell r="B2246" t="str">
            <v>1615-1YY0188-MT</v>
          </cell>
          <cell r="C2246" t="str">
            <v>M19</v>
          </cell>
        </row>
        <row r="2247">
          <cell r="B2247" t="str">
            <v>1615-1YY0190-MT</v>
          </cell>
          <cell r="C2247" t="str">
            <v>M19</v>
          </cell>
        </row>
        <row r="2248">
          <cell r="B2248" t="str">
            <v>1615-1YY0192-MT</v>
          </cell>
          <cell r="C2248" t="str">
            <v>M19</v>
          </cell>
        </row>
        <row r="2249">
          <cell r="B2249" t="str">
            <v>1615-1YY0196-MT</v>
          </cell>
          <cell r="C2249" t="str">
            <v>M19</v>
          </cell>
        </row>
        <row r="2250">
          <cell r="B2250" t="str">
            <v>1615-1YY0199-MT</v>
          </cell>
          <cell r="C2250" t="str">
            <v>M19</v>
          </cell>
        </row>
        <row r="2251">
          <cell r="B2251" t="str">
            <v>1615-1YY0201-MT</v>
          </cell>
          <cell r="C2251" t="str">
            <v>M19</v>
          </cell>
        </row>
        <row r="2252">
          <cell r="B2252" t="str">
            <v>1615-1YY0229-MT</v>
          </cell>
          <cell r="C2252" t="str">
            <v>M19</v>
          </cell>
        </row>
        <row r="2253">
          <cell r="B2253" t="str">
            <v>1615-1YY0252-MT</v>
          </cell>
          <cell r="C2253" t="str">
            <v>M19</v>
          </cell>
        </row>
        <row r="2254">
          <cell r="B2254" t="str">
            <v>1615-1YY0297-MT</v>
          </cell>
          <cell r="C2254" t="str">
            <v>M19</v>
          </cell>
        </row>
        <row r="2255">
          <cell r="B2255" t="str">
            <v>1615-1YY0298-MT</v>
          </cell>
          <cell r="C2255" t="str">
            <v>M19</v>
          </cell>
        </row>
        <row r="2256">
          <cell r="B2256" t="str">
            <v>1615-1YY0299-MT</v>
          </cell>
          <cell r="C2256" t="str">
            <v>M19</v>
          </cell>
        </row>
        <row r="2257">
          <cell r="B2257" t="str">
            <v>1615-1YY0300-MT</v>
          </cell>
          <cell r="C2257" t="str">
            <v>M19</v>
          </cell>
        </row>
        <row r="2258">
          <cell r="B2258" t="str">
            <v>1615-1YY0301-MT</v>
          </cell>
          <cell r="C2258" t="str">
            <v>M19</v>
          </cell>
        </row>
        <row r="2259">
          <cell r="B2259" t="str">
            <v>1615-1YY0302-MT</v>
          </cell>
          <cell r="C2259" t="str">
            <v>M19</v>
          </cell>
        </row>
        <row r="2260">
          <cell r="B2260" t="str">
            <v>1615-1YY0303-MT</v>
          </cell>
          <cell r="C2260" t="str">
            <v>M19</v>
          </cell>
        </row>
        <row r="2261">
          <cell r="B2261" t="str">
            <v>1615-1YY0327-MT</v>
          </cell>
          <cell r="C2261" t="str">
            <v>M19</v>
          </cell>
        </row>
        <row r="2262">
          <cell r="B2262" t="str">
            <v>1615-1YY0328-MT</v>
          </cell>
          <cell r="C2262" t="str">
            <v>M19</v>
          </cell>
        </row>
        <row r="2263">
          <cell r="B2263" t="str">
            <v>1615-5YY3512/MX</v>
          </cell>
          <cell r="C2263" t="str">
            <v>M19</v>
          </cell>
        </row>
        <row r="2264">
          <cell r="B2264" t="str">
            <v>1615-5YY3513/MX</v>
          </cell>
          <cell r="C2264" t="str">
            <v>M19</v>
          </cell>
        </row>
        <row r="2265">
          <cell r="B2265" t="str">
            <v>1615-5YY3519/MX</v>
          </cell>
          <cell r="C2265" t="str">
            <v>M19</v>
          </cell>
        </row>
        <row r="2266">
          <cell r="B2266" t="str">
            <v>1615-5YY3520/MX</v>
          </cell>
          <cell r="C2266" t="str">
            <v>M19</v>
          </cell>
        </row>
        <row r="2267">
          <cell r="B2267" t="str">
            <v>1615-5YY3532</v>
          </cell>
          <cell r="C2267" t="str">
            <v>M19</v>
          </cell>
        </row>
        <row r="2268">
          <cell r="B2268" t="str">
            <v>1616-10P0021EP</v>
          </cell>
          <cell r="C2268" t="str">
            <v>M19</v>
          </cell>
        </row>
        <row r="2269">
          <cell r="B2269" t="str">
            <v>1616-1YY0075-MT</v>
          </cell>
          <cell r="C2269" t="str">
            <v>M19</v>
          </cell>
        </row>
        <row r="2270">
          <cell r="B2270" t="str">
            <v>1616-1YY0076-MT</v>
          </cell>
          <cell r="C2270" t="str">
            <v>M19</v>
          </cell>
        </row>
        <row r="2271">
          <cell r="B2271" t="str">
            <v>1616-1YY0077-MT</v>
          </cell>
          <cell r="C2271" t="str">
            <v>M19</v>
          </cell>
        </row>
        <row r="2272">
          <cell r="B2272" t="str">
            <v>1616-1YY0078-MT</v>
          </cell>
          <cell r="C2272" t="str">
            <v>M19</v>
          </cell>
        </row>
        <row r="2273">
          <cell r="B2273" t="str">
            <v>1616-1YY0079-MT</v>
          </cell>
          <cell r="C2273" t="str">
            <v>M19</v>
          </cell>
        </row>
        <row r="2274">
          <cell r="B2274" t="str">
            <v>1616-1YY0080-MT</v>
          </cell>
          <cell r="C2274" t="str">
            <v>M19</v>
          </cell>
        </row>
        <row r="2275">
          <cell r="B2275" t="str">
            <v>1616-1YY0081-MT</v>
          </cell>
          <cell r="C2275" t="str">
            <v>M19</v>
          </cell>
        </row>
        <row r="2276">
          <cell r="B2276" t="str">
            <v>1616-1YY0082-MT</v>
          </cell>
          <cell r="C2276" t="str">
            <v>M19</v>
          </cell>
        </row>
        <row r="2277">
          <cell r="B2277" t="str">
            <v>1616-1YY0083-MT</v>
          </cell>
          <cell r="C2277" t="str">
            <v>M19</v>
          </cell>
        </row>
        <row r="2278">
          <cell r="B2278" t="str">
            <v>1616-1YY0084-MT</v>
          </cell>
          <cell r="C2278" t="str">
            <v>M19</v>
          </cell>
        </row>
        <row r="2279">
          <cell r="B2279" t="str">
            <v>1616-1YY0085-MT</v>
          </cell>
          <cell r="C2279" t="str">
            <v>M19</v>
          </cell>
        </row>
        <row r="2280">
          <cell r="B2280" t="str">
            <v>1616-1YY0086-MT</v>
          </cell>
          <cell r="C2280" t="str">
            <v>M19</v>
          </cell>
        </row>
        <row r="2281">
          <cell r="B2281" t="str">
            <v>1616-1YY0087-MT</v>
          </cell>
          <cell r="C2281" t="str">
            <v>M19</v>
          </cell>
        </row>
        <row r="2282">
          <cell r="B2282" t="str">
            <v>1616-1YY0088-MT</v>
          </cell>
          <cell r="C2282" t="str">
            <v>M19</v>
          </cell>
        </row>
        <row r="2283">
          <cell r="B2283" t="str">
            <v>1616-1YY0089-MT</v>
          </cell>
          <cell r="C2283" t="str">
            <v>M19</v>
          </cell>
        </row>
        <row r="2284">
          <cell r="B2284" t="str">
            <v>1616-1YY0091-MT</v>
          </cell>
          <cell r="C2284" t="str">
            <v>M19</v>
          </cell>
        </row>
        <row r="2285">
          <cell r="B2285" t="str">
            <v>1616-1YY0092-MT</v>
          </cell>
          <cell r="C2285" t="str">
            <v>M19</v>
          </cell>
        </row>
        <row r="2286">
          <cell r="B2286" t="str">
            <v>1616-1YY0097-MT</v>
          </cell>
          <cell r="C2286" t="str">
            <v>M19</v>
          </cell>
        </row>
        <row r="2287">
          <cell r="B2287" t="str">
            <v>1616-1YY0098-MT</v>
          </cell>
          <cell r="C2287" t="str">
            <v>M19</v>
          </cell>
        </row>
        <row r="2288">
          <cell r="B2288" t="str">
            <v>1616-1YY0103-MT</v>
          </cell>
          <cell r="C2288" t="str">
            <v>M19</v>
          </cell>
        </row>
        <row r="2289">
          <cell r="B2289" t="str">
            <v>1616-1YY0125-MT</v>
          </cell>
          <cell r="C2289" t="str">
            <v>M19</v>
          </cell>
        </row>
        <row r="2290">
          <cell r="B2290" t="str">
            <v>1616-1YY0127-MT</v>
          </cell>
          <cell r="C2290" t="str">
            <v>M19</v>
          </cell>
        </row>
        <row r="2291">
          <cell r="B2291" t="str">
            <v>1616-1YY0128-MT</v>
          </cell>
          <cell r="C2291" t="str">
            <v>M19</v>
          </cell>
        </row>
        <row r="2292">
          <cell r="B2292" t="str">
            <v>1616-1YY0129-MT</v>
          </cell>
          <cell r="C2292" t="str">
            <v>M19</v>
          </cell>
        </row>
        <row r="2293">
          <cell r="B2293" t="str">
            <v>1616-1YY0131-MT</v>
          </cell>
          <cell r="C2293" t="str">
            <v>M19</v>
          </cell>
        </row>
        <row r="2294">
          <cell r="B2294" t="str">
            <v>1616-1YY0135-MT</v>
          </cell>
          <cell r="C2294" t="str">
            <v>M19</v>
          </cell>
        </row>
        <row r="2295">
          <cell r="B2295" t="str">
            <v>1616-1YY0163-MT</v>
          </cell>
          <cell r="C2295" t="str">
            <v>M19</v>
          </cell>
        </row>
        <row r="2296">
          <cell r="B2296" t="str">
            <v>1616-1YY0189-MT</v>
          </cell>
          <cell r="C2296" t="str">
            <v>M19</v>
          </cell>
        </row>
        <row r="2297">
          <cell r="B2297" t="str">
            <v>1616-1YY0190-MT</v>
          </cell>
          <cell r="C2297" t="str">
            <v>M19</v>
          </cell>
        </row>
        <row r="2298">
          <cell r="B2298" t="str">
            <v>1616-1YY0191-MT</v>
          </cell>
          <cell r="C2298" t="str">
            <v>M19</v>
          </cell>
        </row>
        <row r="2299">
          <cell r="B2299" t="str">
            <v>1616-1YY0194-MT</v>
          </cell>
          <cell r="C2299" t="str">
            <v>M19</v>
          </cell>
        </row>
        <row r="2300">
          <cell r="B2300" t="str">
            <v>1616-1YY0226-MT</v>
          </cell>
          <cell r="C2300" t="str">
            <v>M19</v>
          </cell>
        </row>
        <row r="2301">
          <cell r="B2301" t="str">
            <v>1616-1YY0227-MT</v>
          </cell>
          <cell r="C2301" t="str">
            <v>M19</v>
          </cell>
        </row>
        <row r="2302">
          <cell r="B2302" t="str">
            <v>1616-1YY0228-MT</v>
          </cell>
          <cell r="C2302" t="str">
            <v>M19</v>
          </cell>
        </row>
        <row r="2303">
          <cell r="B2303" t="str">
            <v>1616-1YY0230-MT</v>
          </cell>
          <cell r="C2303" t="str">
            <v>M19</v>
          </cell>
        </row>
        <row r="2304">
          <cell r="B2304" t="str">
            <v>1616-1YY0263-MT</v>
          </cell>
          <cell r="C2304" t="str">
            <v>M19</v>
          </cell>
        </row>
        <row r="2305">
          <cell r="B2305" t="str">
            <v>1616-1YY0264-MT</v>
          </cell>
          <cell r="C2305" t="str">
            <v>M19</v>
          </cell>
        </row>
        <row r="2306">
          <cell r="B2306" t="str">
            <v>1616-1YY0265-MT</v>
          </cell>
          <cell r="C2306" t="str">
            <v>M19</v>
          </cell>
        </row>
        <row r="2307">
          <cell r="B2307" t="str">
            <v>1616-1YY0266-MT</v>
          </cell>
          <cell r="C2307" t="str">
            <v>M19</v>
          </cell>
        </row>
        <row r="2308">
          <cell r="B2308" t="str">
            <v>1616-1YY0267-MT</v>
          </cell>
          <cell r="C2308" t="str">
            <v>M19</v>
          </cell>
        </row>
        <row r="2309">
          <cell r="B2309" t="str">
            <v>1616-5TP1037</v>
          </cell>
          <cell r="C2309" t="str">
            <v>M19</v>
          </cell>
        </row>
        <row r="2310">
          <cell r="B2310" t="str">
            <v>1616-5YY0024</v>
          </cell>
          <cell r="C2310" t="str">
            <v>M19</v>
          </cell>
        </row>
        <row r="2311">
          <cell r="B2311" t="str">
            <v>1616-5YY0024EN</v>
          </cell>
          <cell r="C2311" t="str">
            <v>M19</v>
          </cell>
        </row>
        <row r="2312">
          <cell r="B2312" t="str">
            <v>1616-5YY1270</v>
          </cell>
          <cell r="C2312" t="str">
            <v>M19</v>
          </cell>
        </row>
        <row r="2313">
          <cell r="B2313" t="str">
            <v>1616-5YY1321</v>
          </cell>
          <cell r="C2313" t="str">
            <v>M19</v>
          </cell>
        </row>
        <row r="2314">
          <cell r="B2314" t="str">
            <v>1616-5YY3181</v>
          </cell>
          <cell r="C2314" t="str">
            <v>M19</v>
          </cell>
        </row>
        <row r="2315">
          <cell r="B2315" t="str">
            <v>1616-5YY3182</v>
          </cell>
          <cell r="C2315" t="str">
            <v>M19</v>
          </cell>
        </row>
        <row r="2316">
          <cell r="B2316" t="str">
            <v>1616-5YY3184-MT</v>
          </cell>
          <cell r="C2316" t="str">
            <v>M19</v>
          </cell>
        </row>
        <row r="2317">
          <cell r="B2317" t="str">
            <v>1616-5YY3184-MTEN</v>
          </cell>
          <cell r="C2317" t="str">
            <v>M19</v>
          </cell>
        </row>
        <row r="2318">
          <cell r="B2318" t="str">
            <v>1616-5YY3186-MTEN</v>
          </cell>
          <cell r="C2318" t="str">
            <v>M19</v>
          </cell>
        </row>
        <row r="2319">
          <cell r="B2319" t="str">
            <v>1616-5YY3189</v>
          </cell>
          <cell r="C2319" t="str">
            <v>M19</v>
          </cell>
        </row>
        <row r="2320">
          <cell r="B2320" t="str">
            <v>1616-5YY3235</v>
          </cell>
          <cell r="C2320" t="str">
            <v>M19</v>
          </cell>
        </row>
        <row r="2321">
          <cell r="B2321" t="str">
            <v>1616-5YY3235EN</v>
          </cell>
          <cell r="C2321" t="str">
            <v>M19</v>
          </cell>
        </row>
        <row r="2322">
          <cell r="B2322" t="str">
            <v>1616-5YY3236</v>
          </cell>
          <cell r="C2322" t="str">
            <v>M19</v>
          </cell>
        </row>
        <row r="2323">
          <cell r="B2323" t="str">
            <v>1616-5YY3237</v>
          </cell>
          <cell r="C2323" t="str">
            <v>M19</v>
          </cell>
        </row>
        <row r="2324">
          <cell r="B2324" t="str">
            <v>1616-5YY3237(ALT)</v>
          </cell>
          <cell r="C2324" t="str">
            <v>M19</v>
          </cell>
        </row>
        <row r="2325">
          <cell r="B2325" t="str">
            <v>1616-5YY3238</v>
          </cell>
          <cell r="C2325" t="str">
            <v>M19</v>
          </cell>
        </row>
        <row r="2326">
          <cell r="B2326" t="str">
            <v>1619-1YY0019-MT</v>
          </cell>
          <cell r="C2326" t="str">
            <v>M19</v>
          </cell>
        </row>
        <row r="2327">
          <cell r="B2327" t="str">
            <v>1619-1YY0020-MT</v>
          </cell>
          <cell r="C2327" t="str">
            <v>M19</v>
          </cell>
        </row>
        <row r="2328">
          <cell r="B2328" t="str">
            <v>1619-1YY0021-MT</v>
          </cell>
          <cell r="C2328" t="str">
            <v>M19</v>
          </cell>
        </row>
        <row r="2329">
          <cell r="B2329" t="str">
            <v>1619-1YY0032-MT</v>
          </cell>
          <cell r="C2329" t="str">
            <v>M19</v>
          </cell>
        </row>
        <row r="2330">
          <cell r="B2330" t="str">
            <v>1619-1YY0033-MT</v>
          </cell>
          <cell r="C2330" t="str">
            <v>M19</v>
          </cell>
        </row>
        <row r="2331">
          <cell r="B2331" t="str">
            <v>1619-1YY0034-MT</v>
          </cell>
          <cell r="C2331" t="str">
            <v>M19</v>
          </cell>
        </row>
        <row r="2332">
          <cell r="B2332" t="str">
            <v>1619-1YY0035-MT</v>
          </cell>
          <cell r="C2332" t="str">
            <v>M19</v>
          </cell>
        </row>
        <row r="2333">
          <cell r="B2333" t="str">
            <v>1619-1YY0037-MT</v>
          </cell>
          <cell r="C2333" t="str">
            <v>M19</v>
          </cell>
        </row>
        <row r="2334">
          <cell r="B2334" t="str">
            <v>1621-5YY0087</v>
          </cell>
          <cell r="C2334" t="str">
            <v>M19</v>
          </cell>
        </row>
        <row r="2335">
          <cell r="B2335" t="str">
            <v>1621-5YY0108</v>
          </cell>
          <cell r="C2335" t="str">
            <v>M19</v>
          </cell>
        </row>
        <row r="2336">
          <cell r="B2336" t="str">
            <v>1621-5YY0109</v>
          </cell>
          <cell r="C2336" t="str">
            <v>M19</v>
          </cell>
        </row>
        <row r="2337">
          <cell r="B2337" t="str">
            <v>1621-5YY0110</v>
          </cell>
          <cell r="C2337" t="str">
            <v>M19</v>
          </cell>
        </row>
        <row r="2338">
          <cell r="B2338" t="str">
            <v>1621-5YY0130</v>
          </cell>
          <cell r="C2338" t="str">
            <v>M19</v>
          </cell>
        </row>
        <row r="2339">
          <cell r="B2339" t="str">
            <v>1621-5YY0132</v>
          </cell>
          <cell r="C2339" t="str">
            <v>M19</v>
          </cell>
        </row>
        <row r="2340">
          <cell r="B2340" t="str">
            <v>1624-1YY0005-MT</v>
          </cell>
          <cell r="C2340" t="str">
            <v>M19</v>
          </cell>
        </row>
        <row r="2341">
          <cell r="B2341" t="str">
            <v>1625-5YY0114/MX</v>
          </cell>
          <cell r="C2341" t="str">
            <v>M19</v>
          </cell>
        </row>
        <row r="2342">
          <cell r="B2342" t="str">
            <v>1628-5YY0013/MX</v>
          </cell>
          <cell r="C2342" t="str">
            <v>M19</v>
          </cell>
        </row>
        <row r="2343">
          <cell r="B2343" t="str">
            <v>1628-5YY0026/MX</v>
          </cell>
          <cell r="C2343" t="str">
            <v>M19</v>
          </cell>
        </row>
        <row r="2344">
          <cell r="B2344" t="str">
            <v>1628-5YY0031/MX</v>
          </cell>
          <cell r="C2344" t="str">
            <v>M19</v>
          </cell>
        </row>
        <row r="2345">
          <cell r="B2345" t="str">
            <v>1628-5YY0032/MX</v>
          </cell>
          <cell r="C2345" t="str">
            <v>M19</v>
          </cell>
        </row>
        <row r="2346">
          <cell r="B2346" t="str">
            <v>1629-1YY0010-MT</v>
          </cell>
          <cell r="C2346" t="str">
            <v>M19</v>
          </cell>
        </row>
        <row r="2347">
          <cell r="B2347" t="str">
            <v>1629-1YY0012-MT</v>
          </cell>
          <cell r="C2347" t="str">
            <v>M19</v>
          </cell>
        </row>
        <row r="2348">
          <cell r="B2348" t="str">
            <v>1629-1YY0017-MT</v>
          </cell>
          <cell r="C2348" t="str">
            <v>M19</v>
          </cell>
        </row>
        <row r="2349">
          <cell r="B2349" t="str">
            <v>1629-1YY0023-MT</v>
          </cell>
          <cell r="C2349" t="str">
            <v>M19</v>
          </cell>
        </row>
        <row r="2350">
          <cell r="B2350" t="str">
            <v>1629-1YY0024-MT</v>
          </cell>
          <cell r="C2350" t="str">
            <v>M19</v>
          </cell>
        </row>
        <row r="2351">
          <cell r="B2351" t="str">
            <v>1629-1YY0026-MT</v>
          </cell>
          <cell r="C2351" t="str">
            <v>M19</v>
          </cell>
        </row>
        <row r="2352">
          <cell r="B2352" t="str">
            <v>1629-1YY0029-MT</v>
          </cell>
          <cell r="C2352" t="str">
            <v>M19</v>
          </cell>
        </row>
        <row r="2353">
          <cell r="B2353" t="str">
            <v>1629-1YY0041-MT</v>
          </cell>
          <cell r="C2353" t="str">
            <v>M19</v>
          </cell>
        </row>
        <row r="2354">
          <cell r="B2354" t="str">
            <v>1629-1YY0044-MT</v>
          </cell>
          <cell r="C2354" t="str">
            <v>M19</v>
          </cell>
        </row>
        <row r="2355">
          <cell r="B2355" t="str">
            <v>1633-1YY0004-MT</v>
          </cell>
          <cell r="C2355" t="str">
            <v>M19</v>
          </cell>
        </row>
        <row r="2356">
          <cell r="B2356" t="str">
            <v>1633-1YY0007-MT</v>
          </cell>
          <cell r="C2356" t="str">
            <v>M19</v>
          </cell>
        </row>
        <row r="2357">
          <cell r="B2357" t="str">
            <v>1663-5YY0016-MT</v>
          </cell>
          <cell r="C2357" t="str">
            <v>M19</v>
          </cell>
        </row>
        <row r="2358">
          <cell r="B2358" t="str">
            <v>1663-5YY0016-MTEN</v>
          </cell>
          <cell r="C2358" t="str">
            <v>M19</v>
          </cell>
        </row>
        <row r="2359">
          <cell r="B2359" t="str">
            <v>1663-5YY0018-MT</v>
          </cell>
          <cell r="C2359" t="str">
            <v>M19</v>
          </cell>
        </row>
        <row r="2360">
          <cell r="B2360" t="str">
            <v>1663-5YY0018-MTEN</v>
          </cell>
          <cell r="C2360" t="str">
            <v>M19</v>
          </cell>
        </row>
        <row r="2361">
          <cell r="B2361" t="str">
            <v>1663-5YY0049-MT</v>
          </cell>
          <cell r="C2361" t="str">
            <v>M19</v>
          </cell>
        </row>
        <row r="2362">
          <cell r="B2362" t="str">
            <v>1663-5YY0049EN/RS</v>
          </cell>
          <cell r="C2362" t="str">
            <v>M19</v>
          </cell>
        </row>
        <row r="2363">
          <cell r="B2363" t="str">
            <v>1663-5YY0051-MTEN</v>
          </cell>
          <cell r="C2363" t="str">
            <v>M19</v>
          </cell>
        </row>
        <row r="2364">
          <cell r="B2364" t="str">
            <v>1663-5YY0054-MTEN</v>
          </cell>
          <cell r="C2364" t="str">
            <v>M19</v>
          </cell>
        </row>
        <row r="2365">
          <cell r="B2365" t="str">
            <v>1663-5YY0059-MTEN</v>
          </cell>
          <cell r="C2365" t="str">
            <v>M19</v>
          </cell>
        </row>
        <row r="2366">
          <cell r="B2366" t="str">
            <v>1663-5YY0061-MT</v>
          </cell>
          <cell r="C2366" t="str">
            <v>M19</v>
          </cell>
        </row>
        <row r="2367">
          <cell r="B2367" t="str">
            <v>1663-5YY0061EN/RS</v>
          </cell>
          <cell r="C2367" t="str">
            <v>M19</v>
          </cell>
        </row>
        <row r="2368">
          <cell r="B2368" t="str">
            <v>1663-5YY0064-MT</v>
          </cell>
          <cell r="C2368" t="str">
            <v>M19</v>
          </cell>
        </row>
        <row r="2369">
          <cell r="B2369" t="str">
            <v>1663-5YY0064-MTEN</v>
          </cell>
          <cell r="C2369" t="str">
            <v>M19</v>
          </cell>
        </row>
        <row r="2370">
          <cell r="B2370" t="str">
            <v>1663-5YY0064EN</v>
          </cell>
          <cell r="C2370" t="str">
            <v>M19</v>
          </cell>
        </row>
        <row r="2371">
          <cell r="B2371" t="str">
            <v>1663-5YY0078-MT</v>
          </cell>
          <cell r="C2371" t="str">
            <v>M19</v>
          </cell>
        </row>
        <row r="2372">
          <cell r="B2372" t="str">
            <v>1663-5YY0078EN/RS</v>
          </cell>
          <cell r="C2372" t="str">
            <v>M19</v>
          </cell>
        </row>
        <row r="2373">
          <cell r="B2373" t="str">
            <v>1663-5YY0099-MTEN</v>
          </cell>
          <cell r="C2373" t="str">
            <v>M19</v>
          </cell>
        </row>
        <row r="2374">
          <cell r="B2374" t="str">
            <v>1663-5YY0100-MT</v>
          </cell>
          <cell r="C2374" t="str">
            <v>M19</v>
          </cell>
        </row>
        <row r="2375">
          <cell r="B2375" t="str">
            <v>1663-5YY0100EN/RS</v>
          </cell>
          <cell r="C2375" t="str">
            <v>M19</v>
          </cell>
        </row>
        <row r="2376">
          <cell r="B2376" t="str">
            <v>1663-5YY0101-MT</v>
          </cell>
          <cell r="C2376" t="str">
            <v>M19</v>
          </cell>
        </row>
        <row r="2377">
          <cell r="B2377" t="str">
            <v>1663-5YY0101EN/RS</v>
          </cell>
          <cell r="C2377" t="str">
            <v>M19</v>
          </cell>
        </row>
        <row r="2378">
          <cell r="B2378" t="str">
            <v>1663-5YY0102-MT</v>
          </cell>
          <cell r="C2378" t="str">
            <v>M19</v>
          </cell>
        </row>
        <row r="2379">
          <cell r="B2379" t="str">
            <v>1663-5YY0102EN/RS</v>
          </cell>
          <cell r="C2379" t="str">
            <v>M19</v>
          </cell>
        </row>
        <row r="2380">
          <cell r="B2380" t="str">
            <v>1663-5YY0105-MTAN</v>
          </cell>
          <cell r="C2380" t="str">
            <v>M19</v>
          </cell>
        </row>
        <row r="2381">
          <cell r="B2381" t="str">
            <v>1663-5YY0105-MTEN</v>
          </cell>
          <cell r="C2381" t="str">
            <v>M19</v>
          </cell>
        </row>
        <row r="2382">
          <cell r="B2382" t="str">
            <v>1663-5YY0106-MTAN</v>
          </cell>
          <cell r="C2382" t="str">
            <v>M19</v>
          </cell>
        </row>
        <row r="2383">
          <cell r="B2383" t="str">
            <v>1663-5YY0106-MTEN</v>
          </cell>
          <cell r="C2383" t="str">
            <v>M19</v>
          </cell>
        </row>
        <row r="2384">
          <cell r="B2384" t="str">
            <v>1663-5YY0106EN</v>
          </cell>
          <cell r="C2384" t="str">
            <v>M19</v>
          </cell>
        </row>
        <row r="2385">
          <cell r="B2385" t="str">
            <v>1663-5YY0122</v>
          </cell>
          <cell r="C2385" t="str">
            <v>M19</v>
          </cell>
        </row>
        <row r="2386">
          <cell r="B2386" t="str">
            <v>1663-5YY0122EN/RS</v>
          </cell>
          <cell r="C2386" t="str">
            <v>M19</v>
          </cell>
        </row>
        <row r="2387">
          <cell r="B2387" t="str">
            <v>1663-5YY0124EN/RS</v>
          </cell>
          <cell r="C2387" t="str">
            <v>M19</v>
          </cell>
        </row>
        <row r="2388">
          <cell r="B2388" t="str">
            <v>1663-5YY0144</v>
          </cell>
          <cell r="C2388" t="str">
            <v>M19</v>
          </cell>
        </row>
        <row r="2389">
          <cell r="B2389" t="str">
            <v>1663-5YY0144EN/RS</v>
          </cell>
          <cell r="C2389" t="str">
            <v>M19</v>
          </cell>
        </row>
        <row r="2390">
          <cell r="B2390" t="str">
            <v>1663-5YY0145</v>
          </cell>
          <cell r="C2390" t="str">
            <v>M19</v>
          </cell>
        </row>
        <row r="2391">
          <cell r="B2391" t="str">
            <v>1663-5YY0145EN/RS</v>
          </cell>
          <cell r="C2391" t="str">
            <v>M19</v>
          </cell>
        </row>
        <row r="2392">
          <cell r="B2392" t="str">
            <v>1663-5YY0157</v>
          </cell>
          <cell r="C2392" t="str">
            <v>M19</v>
          </cell>
        </row>
        <row r="2393">
          <cell r="B2393" t="str">
            <v>1663-5YY0157EN/RS</v>
          </cell>
          <cell r="C2393" t="str">
            <v>M19</v>
          </cell>
        </row>
        <row r="2394">
          <cell r="B2394" t="str">
            <v>1663-5YY0161</v>
          </cell>
          <cell r="C2394" t="str">
            <v>M19</v>
          </cell>
        </row>
        <row r="2395">
          <cell r="B2395" t="str">
            <v>1663-5YY0161EN/RS</v>
          </cell>
          <cell r="C2395" t="str">
            <v>M19</v>
          </cell>
        </row>
        <row r="2396">
          <cell r="B2396" t="str">
            <v>1663-5YY0164-MTEN</v>
          </cell>
          <cell r="C2396" t="str">
            <v>M19</v>
          </cell>
        </row>
        <row r="2397">
          <cell r="B2397" t="str">
            <v>1663-5YY0178EN</v>
          </cell>
          <cell r="C2397" t="str">
            <v>M19</v>
          </cell>
        </row>
        <row r="2398">
          <cell r="B2398" t="str">
            <v>1663-5YY0178EN/RS</v>
          </cell>
          <cell r="C2398" t="str">
            <v>M19</v>
          </cell>
        </row>
        <row r="2399">
          <cell r="B2399" t="str">
            <v>1663-5YY0194-MTEN/RS</v>
          </cell>
          <cell r="C2399" t="str">
            <v>M19</v>
          </cell>
        </row>
        <row r="2400">
          <cell r="B2400" t="str">
            <v>1663-5YY0195EN</v>
          </cell>
          <cell r="C2400" t="str">
            <v>M19</v>
          </cell>
        </row>
        <row r="2401">
          <cell r="B2401" t="str">
            <v>1663-5YY0195EN/RS</v>
          </cell>
          <cell r="C2401" t="str">
            <v>M19</v>
          </cell>
        </row>
        <row r="2402">
          <cell r="B2402" t="str">
            <v>1663-5YY0196EN</v>
          </cell>
          <cell r="C2402" t="str">
            <v>M19</v>
          </cell>
        </row>
        <row r="2403">
          <cell r="B2403" t="str">
            <v>1663-5YY0196EN/RS</v>
          </cell>
          <cell r="C2403" t="str">
            <v>M19</v>
          </cell>
        </row>
        <row r="2404">
          <cell r="B2404" t="str">
            <v>1663-5YY0196ENNV00</v>
          </cell>
          <cell r="C2404" t="str">
            <v>M19</v>
          </cell>
        </row>
        <row r="2405">
          <cell r="B2405" t="str">
            <v>1663-5YY0197-MT</v>
          </cell>
          <cell r="C2405" t="str">
            <v>M19</v>
          </cell>
        </row>
        <row r="2406">
          <cell r="B2406" t="str">
            <v>1663-5YY0197EN/RS</v>
          </cell>
          <cell r="C2406" t="str">
            <v>M19</v>
          </cell>
        </row>
        <row r="2407">
          <cell r="B2407" t="str">
            <v>1663-5YY0208-MT</v>
          </cell>
          <cell r="C2407" t="str">
            <v>M19</v>
          </cell>
        </row>
        <row r="2408">
          <cell r="B2408" t="str">
            <v>1663-5YY0208EN/RS</v>
          </cell>
          <cell r="C2408" t="str">
            <v>M19</v>
          </cell>
        </row>
        <row r="2409">
          <cell r="B2409" t="str">
            <v>1663-5YY0228-0000EN</v>
          </cell>
          <cell r="C2409" t="str">
            <v>M19</v>
          </cell>
        </row>
        <row r="2410">
          <cell r="B2410" t="str">
            <v>1663-5YY0228-H00</v>
          </cell>
          <cell r="C2410" t="str">
            <v>M19</v>
          </cell>
        </row>
        <row r="2411">
          <cell r="B2411" t="str">
            <v>1663-5YY0247EN/RS</v>
          </cell>
          <cell r="C2411" t="str">
            <v>M19</v>
          </cell>
        </row>
        <row r="2412">
          <cell r="B2412" t="str">
            <v>1663-5YY0250EN</v>
          </cell>
          <cell r="C2412" t="str">
            <v>M19</v>
          </cell>
        </row>
        <row r="2413">
          <cell r="B2413" t="str">
            <v>1663-5YY0250ENNV00</v>
          </cell>
          <cell r="C2413" t="str">
            <v>M19</v>
          </cell>
        </row>
        <row r="2414">
          <cell r="B2414" t="str">
            <v>1663-5YY0250ENNV13</v>
          </cell>
          <cell r="C2414" t="str">
            <v>M19</v>
          </cell>
        </row>
        <row r="2415">
          <cell r="B2415" t="str">
            <v>1663-5YY0257-H02</v>
          </cell>
          <cell r="C2415" t="str">
            <v>M19</v>
          </cell>
        </row>
        <row r="2416">
          <cell r="B2416" t="str">
            <v>1663-5YY0257EN</v>
          </cell>
          <cell r="C2416" t="str">
            <v>M19</v>
          </cell>
        </row>
        <row r="2417">
          <cell r="B2417" t="str">
            <v>1663-5YY0262EN/RS</v>
          </cell>
          <cell r="C2417" t="str">
            <v>M19</v>
          </cell>
        </row>
        <row r="2418">
          <cell r="B2418" t="str">
            <v>1663-5YY0268-H02</v>
          </cell>
          <cell r="C2418" t="str">
            <v>M19</v>
          </cell>
        </row>
        <row r="2419">
          <cell r="B2419" t="str">
            <v>1663-5YY0268EN</v>
          </cell>
          <cell r="C2419" t="str">
            <v>M19</v>
          </cell>
        </row>
        <row r="2420">
          <cell r="B2420" t="str">
            <v>1663-5YY0268ENNV00</v>
          </cell>
          <cell r="C2420" t="str">
            <v>M19</v>
          </cell>
        </row>
        <row r="2421">
          <cell r="B2421" t="str">
            <v>1663-5YY0271EN</v>
          </cell>
          <cell r="C2421" t="str">
            <v>M19</v>
          </cell>
        </row>
        <row r="2422">
          <cell r="B2422" t="str">
            <v>1663-5YY0274EN</v>
          </cell>
          <cell r="C2422" t="str">
            <v>M19</v>
          </cell>
        </row>
        <row r="2423">
          <cell r="B2423" t="str">
            <v>1663-5YY0275EN</v>
          </cell>
          <cell r="C2423" t="str">
            <v>M19</v>
          </cell>
        </row>
        <row r="2424">
          <cell r="B2424" t="str">
            <v>1663-5YY0275ENNV00</v>
          </cell>
          <cell r="C2424" t="str">
            <v>M19</v>
          </cell>
        </row>
        <row r="2425">
          <cell r="B2425" t="str">
            <v>1663-5YY0281EN</v>
          </cell>
          <cell r="C2425" t="str">
            <v>M19</v>
          </cell>
        </row>
        <row r="2426">
          <cell r="B2426" t="str">
            <v>1663-5YY0281ENNV00</v>
          </cell>
          <cell r="C2426" t="str">
            <v>M19</v>
          </cell>
        </row>
        <row r="2427">
          <cell r="B2427" t="str">
            <v>1663-5YY0284EN</v>
          </cell>
          <cell r="C2427" t="str">
            <v>M19</v>
          </cell>
        </row>
        <row r="2428">
          <cell r="B2428" t="str">
            <v>1663-5YY0294-H01</v>
          </cell>
          <cell r="C2428" t="str">
            <v>M19</v>
          </cell>
        </row>
        <row r="2429">
          <cell r="B2429" t="str">
            <v>1663-5YY0294EN</v>
          </cell>
          <cell r="C2429" t="str">
            <v>M19</v>
          </cell>
        </row>
        <row r="2430">
          <cell r="B2430" t="str">
            <v>1663-5YY0294ENNV00</v>
          </cell>
          <cell r="C2430" t="str">
            <v>M19</v>
          </cell>
        </row>
        <row r="2431">
          <cell r="B2431" t="str">
            <v>1663-5YY0296EN</v>
          </cell>
          <cell r="C2431" t="str">
            <v>M19</v>
          </cell>
        </row>
        <row r="2432">
          <cell r="B2432" t="str">
            <v>1663-5YY0296ENNV13</v>
          </cell>
          <cell r="C2432" t="str">
            <v>M19</v>
          </cell>
        </row>
        <row r="2433">
          <cell r="B2433" t="str">
            <v>1663-5YY0308EN</v>
          </cell>
          <cell r="C2433" t="str">
            <v>M19</v>
          </cell>
        </row>
        <row r="2434">
          <cell r="B2434" t="str">
            <v>1663-5YY0318EN</v>
          </cell>
          <cell r="C2434" t="str">
            <v>M19</v>
          </cell>
        </row>
        <row r="2435">
          <cell r="B2435" t="str">
            <v>1663-5YY0318ENNV00</v>
          </cell>
          <cell r="C2435" t="str">
            <v>M19</v>
          </cell>
        </row>
        <row r="2436">
          <cell r="B2436" t="str">
            <v>1663-5YY0321-H01</v>
          </cell>
          <cell r="C2436" t="str">
            <v>M19</v>
          </cell>
        </row>
        <row r="2437">
          <cell r="B2437" t="str">
            <v>1663-5YY0321EN</v>
          </cell>
          <cell r="C2437" t="str">
            <v>M19</v>
          </cell>
        </row>
        <row r="2438">
          <cell r="B2438" t="str">
            <v>1663-5YY0333EN</v>
          </cell>
          <cell r="C2438" t="str">
            <v>M19</v>
          </cell>
        </row>
        <row r="2439">
          <cell r="B2439" t="str">
            <v>1663-5YY0333ENNV00</v>
          </cell>
          <cell r="C2439" t="str">
            <v>M19</v>
          </cell>
        </row>
        <row r="2440">
          <cell r="B2440" t="str">
            <v>1663-5YY0370EN</v>
          </cell>
          <cell r="C2440" t="str">
            <v>M19</v>
          </cell>
        </row>
        <row r="2441">
          <cell r="B2441" t="str">
            <v>1663-5YY0371EN</v>
          </cell>
          <cell r="C2441" t="str">
            <v>M19</v>
          </cell>
        </row>
        <row r="2442">
          <cell r="B2442" t="str">
            <v>1663-5YY0381EN</v>
          </cell>
          <cell r="C2442" t="str">
            <v>M19</v>
          </cell>
        </row>
        <row r="2443">
          <cell r="B2443" t="str">
            <v>1663-5YY0394EN</v>
          </cell>
          <cell r="C2443" t="str">
            <v>M19</v>
          </cell>
        </row>
        <row r="2444">
          <cell r="B2444" t="str">
            <v>1663-5YY0400EN</v>
          </cell>
          <cell r="C2444" t="str">
            <v>M19</v>
          </cell>
        </row>
        <row r="2445">
          <cell r="B2445" t="str">
            <v>1663-5YY0441EN</v>
          </cell>
          <cell r="C2445" t="str">
            <v>M19</v>
          </cell>
        </row>
        <row r="2446">
          <cell r="B2446" t="str">
            <v>1663-5YY0445EN</v>
          </cell>
          <cell r="C2446" t="str">
            <v>M19</v>
          </cell>
        </row>
        <row r="2447">
          <cell r="B2447" t="str">
            <v>1663-5YY0461EN</v>
          </cell>
          <cell r="C2447" t="str">
            <v>M19</v>
          </cell>
        </row>
        <row r="2448">
          <cell r="B2448" t="str">
            <v>1663-5YY0464EN</v>
          </cell>
          <cell r="C2448" t="str">
            <v>M19</v>
          </cell>
        </row>
        <row r="2449">
          <cell r="B2449" t="str">
            <v>1663-5YY0464ENNV13</v>
          </cell>
          <cell r="C2449" t="str">
            <v>M19</v>
          </cell>
        </row>
        <row r="2450">
          <cell r="B2450" t="str">
            <v>1663-5YY0467EN</v>
          </cell>
          <cell r="C2450" t="str">
            <v>M19</v>
          </cell>
        </row>
        <row r="2451">
          <cell r="B2451" t="str">
            <v>1663-5YY0468EN</v>
          </cell>
          <cell r="C2451" t="str">
            <v>M19</v>
          </cell>
        </row>
        <row r="2452">
          <cell r="B2452" t="str">
            <v>1663-5YY0499EN</v>
          </cell>
          <cell r="C2452" t="str">
            <v>M19</v>
          </cell>
        </row>
        <row r="2453">
          <cell r="B2453" t="str">
            <v>1663-5YY0499ENNV00</v>
          </cell>
          <cell r="C2453" t="str">
            <v>M19</v>
          </cell>
        </row>
        <row r="2454">
          <cell r="B2454" t="str">
            <v>1663-5YY0500EN</v>
          </cell>
          <cell r="C2454" t="str">
            <v>M19</v>
          </cell>
        </row>
        <row r="2455">
          <cell r="B2455" t="str">
            <v>1663-5YY0500ENNV00</v>
          </cell>
          <cell r="C2455" t="str">
            <v>M19</v>
          </cell>
        </row>
        <row r="2456">
          <cell r="B2456" t="str">
            <v>1663-EGK0003-MTEN</v>
          </cell>
          <cell r="C2456" t="str">
            <v>M19</v>
          </cell>
        </row>
        <row r="2457">
          <cell r="B2457" t="str">
            <v>1720-5YY0027</v>
          </cell>
          <cell r="C2457" t="str">
            <v>M19</v>
          </cell>
        </row>
        <row r="2458">
          <cell r="B2458" t="str">
            <v>1720-5YY0028</v>
          </cell>
          <cell r="C2458" t="str">
            <v>M19</v>
          </cell>
        </row>
        <row r="2459">
          <cell r="B2459" t="str">
            <v>1720-5YY0039</v>
          </cell>
          <cell r="C2459" t="str">
            <v>M19</v>
          </cell>
        </row>
        <row r="2460">
          <cell r="B2460" t="str">
            <v>1720-5YY0042</v>
          </cell>
          <cell r="C2460" t="str">
            <v>M19</v>
          </cell>
        </row>
        <row r="2461">
          <cell r="B2461" t="str">
            <v>1720-5YY0053</v>
          </cell>
          <cell r="C2461" t="str">
            <v>M19</v>
          </cell>
        </row>
        <row r="2462">
          <cell r="B2462" t="str">
            <v>1720-5YY0054</v>
          </cell>
          <cell r="C2462" t="str">
            <v>M19</v>
          </cell>
        </row>
        <row r="2463">
          <cell r="B2463" t="str">
            <v>1720-5YY0069</v>
          </cell>
          <cell r="C2463" t="str">
            <v>M19</v>
          </cell>
        </row>
        <row r="2464">
          <cell r="B2464" t="str">
            <v>1720-5YY0070</v>
          </cell>
          <cell r="C2464" t="str">
            <v>M19</v>
          </cell>
        </row>
        <row r="2465">
          <cell r="B2465" t="str">
            <v>1720-5YY0071</v>
          </cell>
          <cell r="C2465" t="str">
            <v>M19</v>
          </cell>
        </row>
        <row r="2466">
          <cell r="B2466" t="str">
            <v>1720-5YY0072</v>
          </cell>
          <cell r="C2466" t="str">
            <v>M19</v>
          </cell>
        </row>
        <row r="2467">
          <cell r="B2467" t="str">
            <v>1720-5YY0077</v>
          </cell>
          <cell r="C2467" t="str">
            <v>M19</v>
          </cell>
        </row>
        <row r="2468">
          <cell r="B2468" t="str">
            <v>1720-5YY0078</v>
          </cell>
          <cell r="C2468" t="str">
            <v>M19</v>
          </cell>
        </row>
        <row r="2469">
          <cell r="B2469" t="str">
            <v>1720-5YY0081</v>
          </cell>
          <cell r="C2469" t="str">
            <v>M19</v>
          </cell>
        </row>
        <row r="2470">
          <cell r="B2470" t="str">
            <v>1720-5YY0082</v>
          </cell>
          <cell r="C2470" t="str">
            <v>M19</v>
          </cell>
        </row>
        <row r="2471">
          <cell r="B2471" t="str">
            <v>1720-5YY0085</v>
          </cell>
          <cell r="C2471" t="str">
            <v>M19</v>
          </cell>
        </row>
        <row r="2472">
          <cell r="B2472" t="str">
            <v>1720-5YY0086</v>
          </cell>
          <cell r="C2472" t="str">
            <v>M19</v>
          </cell>
        </row>
        <row r="2473">
          <cell r="B2473" t="str">
            <v>1720-5YY0089</v>
          </cell>
          <cell r="C2473" t="str">
            <v>M19</v>
          </cell>
        </row>
        <row r="2474">
          <cell r="B2474" t="str">
            <v>1720-5YY0090</v>
          </cell>
          <cell r="C2474" t="str">
            <v>M19</v>
          </cell>
        </row>
        <row r="2475">
          <cell r="B2475" t="str">
            <v>1720-5YY0097</v>
          </cell>
          <cell r="C2475" t="str">
            <v>M19</v>
          </cell>
        </row>
        <row r="2476">
          <cell r="B2476" t="str">
            <v>1720-5YY0099</v>
          </cell>
          <cell r="C2476" t="str">
            <v>M19</v>
          </cell>
        </row>
        <row r="2477">
          <cell r="B2477" t="str">
            <v>1720-5YY0101</v>
          </cell>
          <cell r="C2477" t="str">
            <v>M19</v>
          </cell>
        </row>
        <row r="2478">
          <cell r="B2478" t="str">
            <v>1720-5YY0105</v>
          </cell>
          <cell r="C2478" t="str">
            <v>M19</v>
          </cell>
        </row>
        <row r="2479">
          <cell r="B2479" t="str">
            <v>1720-5YY0114</v>
          </cell>
          <cell r="C2479" t="str">
            <v>M19</v>
          </cell>
        </row>
        <row r="2480">
          <cell r="B2480" t="str">
            <v>1720-5YY0115</v>
          </cell>
          <cell r="C2480" t="str">
            <v>M19</v>
          </cell>
        </row>
        <row r="2481">
          <cell r="B2481" t="str">
            <v>1720-5YY0116</v>
          </cell>
          <cell r="C2481" t="str">
            <v>M19</v>
          </cell>
        </row>
        <row r="2482">
          <cell r="B2482" t="str">
            <v>1720-5YY0117</v>
          </cell>
          <cell r="C2482" t="str">
            <v>M19</v>
          </cell>
        </row>
        <row r="2483">
          <cell r="B2483" t="str">
            <v>1720-5YY0131</v>
          </cell>
          <cell r="C2483" t="str">
            <v>M19</v>
          </cell>
        </row>
        <row r="2484">
          <cell r="B2484" t="str">
            <v>1720-5YY0132</v>
          </cell>
          <cell r="C2484" t="str">
            <v>M19</v>
          </cell>
        </row>
        <row r="2485">
          <cell r="B2485" t="str">
            <v>1720-5YY0134</v>
          </cell>
          <cell r="C2485" t="str">
            <v>M19</v>
          </cell>
        </row>
        <row r="2486">
          <cell r="B2486" t="str">
            <v>1720-5YY0135</v>
          </cell>
          <cell r="C2486" t="str">
            <v>M19</v>
          </cell>
        </row>
        <row r="2487">
          <cell r="B2487" t="str">
            <v>1720-5YY0151</v>
          </cell>
          <cell r="C2487" t="str">
            <v>M19</v>
          </cell>
        </row>
        <row r="2488">
          <cell r="B2488" t="str">
            <v>1720-5YY0152</v>
          </cell>
          <cell r="C2488" t="str">
            <v>M19</v>
          </cell>
        </row>
        <row r="2489">
          <cell r="B2489" t="str">
            <v>1720-5YY0154</v>
          </cell>
          <cell r="C2489" t="str">
            <v>M19</v>
          </cell>
        </row>
        <row r="2490">
          <cell r="B2490" t="str">
            <v>1720-5YY0155</v>
          </cell>
          <cell r="C2490" t="str">
            <v>M19</v>
          </cell>
        </row>
        <row r="2491">
          <cell r="B2491" t="str">
            <v>1720-5YY0172</v>
          </cell>
          <cell r="C2491" t="str">
            <v>M19</v>
          </cell>
        </row>
        <row r="2492">
          <cell r="B2492" t="str">
            <v>1720-5YY0173</v>
          </cell>
          <cell r="C2492" t="str">
            <v>M19</v>
          </cell>
        </row>
        <row r="2493">
          <cell r="B2493" t="str">
            <v>1720-5YY0225</v>
          </cell>
          <cell r="C2493" t="str">
            <v>M19</v>
          </cell>
        </row>
        <row r="2494">
          <cell r="B2494" t="str">
            <v>1720-5YY0281</v>
          </cell>
          <cell r="C2494" t="str">
            <v>M19</v>
          </cell>
        </row>
        <row r="2495">
          <cell r="B2495" t="str">
            <v>1720-5YY0285</v>
          </cell>
          <cell r="C2495" t="str">
            <v>M19</v>
          </cell>
        </row>
        <row r="2496">
          <cell r="B2496" t="str">
            <v>1720-5YY0289</v>
          </cell>
          <cell r="C2496" t="str">
            <v>M19</v>
          </cell>
        </row>
        <row r="2497">
          <cell r="B2497" t="str">
            <v>1720-5YY0291</v>
          </cell>
          <cell r="C2497" t="str">
            <v>M19</v>
          </cell>
        </row>
        <row r="2498">
          <cell r="B2498" t="str">
            <v>1720-5YY0292</v>
          </cell>
          <cell r="C2498" t="str">
            <v>M19</v>
          </cell>
        </row>
        <row r="2499">
          <cell r="B2499" t="str">
            <v>1720-5YY0293</v>
          </cell>
          <cell r="C2499" t="str">
            <v>M19</v>
          </cell>
        </row>
        <row r="2500">
          <cell r="B2500" t="str">
            <v>1901-5YY0367/MX</v>
          </cell>
          <cell r="C2500" t="str">
            <v>M19</v>
          </cell>
        </row>
        <row r="2501">
          <cell r="B2501" t="str">
            <v>1901-5YY0395/MX</v>
          </cell>
          <cell r="C2501" t="str">
            <v>M19</v>
          </cell>
        </row>
        <row r="2502">
          <cell r="B2502" t="str">
            <v>1901-5YY0396/MX</v>
          </cell>
          <cell r="C2502" t="str">
            <v>M19</v>
          </cell>
        </row>
        <row r="2503">
          <cell r="B2503" t="str">
            <v>1901-5YY0405/MX</v>
          </cell>
          <cell r="C2503" t="str">
            <v>M19</v>
          </cell>
        </row>
        <row r="2504">
          <cell r="B2504" t="str">
            <v>1901-5YY0455</v>
          </cell>
          <cell r="C2504" t="str">
            <v>M19</v>
          </cell>
        </row>
        <row r="2505">
          <cell r="B2505" t="str">
            <v>1901-5YY0474/MX</v>
          </cell>
          <cell r="C2505" t="str">
            <v>M19</v>
          </cell>
        </row>
        <row r="2506">
          <cell r="B2506" t="str">
            <v>1901-5YY0475/MX</v>
          </cell>
          <cell r="C2506" t="str">
            <v>M19</v>
          </cell>
        </row>
        <row r="2507">
          <cell r="B2507" t="str">
            <v>1901-5YY0484/MX</v>
          </cell>
          <cell r="C2507" t="str">
            <v>M19</v>
          </cell>
        </row>
        <row r="2508">
          <cell r="B2508" t="str">
            <v>1901-5YY0485/MX</v>
          </cell>
          <cell r="C2508" t="str">
            <v>M19</v>
          </cell>
        </row>
        <row r="2509">
          <cell r="B2509" t="str">
            <v>1901-5YY0486/MX</v>
          </cell>
          <cell r="C2509" t="str">
            <v>M19</v>
          </cell>
        </row>
        <row r="2510">
          <cell r="B2510" t="str">
            <v>1901-5YY0591/MX</v>
          </cell>
          <cell r="C2510" t="str">
            <v>M19</v>
          </cell>
        </row>
        <row r="2511">
          <cell r="B2511" t="str">
            <v>1901-5YY0591AN/MX</v>
          </cell>
          <cell r="C2511" t="str">
            <v>M19</v>
          </cell>
        </row>
        <row r="2512">
          <cell r="B2512" t="str">
            <v>1901-5YY0592/MX</v>
          </cell>
          <cell r="C2512" t="str">
            <v>M19</v>
          </cell>
        </row>
        <row r="2513">
          <cell r="B2513" t="str">
            <v>1901-5YY0592AN/MX</v>
          </cell>
          <cell r="C2513" t="str">
            <v>M19</v>
          </cell>
        </row>
        <row r="2514">
          <cell r="B2514" t="str">
            <v>1901-5YY0597/MX</v>
          </cell>
          <cell r="C2514" t="str">
            <v>M19</v>
          </cell>
        </row>
        <row r="2515">
          <cell r="B2515" t="str">
            <v>1901-5YY0642</v>
          </cell>
          <cell r="C2515" t="str">
            <v>M19</v>
          </cell>
        </row>
        <row r="2516">
          <cell r="B2516" t="str">
            <v>1901-5YY0653</v>
          </cell>
          <cell r="C2516" t="str">
            <v>M19</v>
          </cell>
        </row>
        <row r="2517">
          <cell r="B2517" t="str">
            <v>1901-5YY0676</v>
          </cell>
          <cell r="C2517" t="str">
            <v>M19</v>
          </cell>
        </row>
        <row r="2518">
          <cell r="B2518" t="str">
            <v>1901-5YY0684</v>
          </cell>
          <cell r="C2518" t="str">
            <v>M19</v>
          </cell>
        </row>
        <row r="2519">
          <cell r="B2519" t="str">
            <v>1901-5YY0730</v>
          </cell>
          <cell r="C2519" t="str">
            <v>M19</v>
          </cell>
        </row>
        <row r="2520">
          <cell r="B2520" t="str">
            <v>1901-5YY0731</v>
          </cell>
          <cell r="C2520" t="str">
            <v>M19</v>
          </cell>
        </row>
        <row r="2521">
          <cell r="B2521" t="str">
            <v>1905-5YY0383AN</v>
          </cell>
          <cell r="C2521" t="str">
            <v>M19</v>
          </cell>
        </row>
        <row r="2522">
          <cell r="B2522" t="str">
            <v>1905-5YY0383EN</v>
          </cell>
          <cell r="C2522" t="str">
            <v>M19</v>
          </cell>
        </row>
        <row r="2523">
          <cell r="B2523" t="str">
            <v>1905-5YY0383RN/MX</v>
          </cell>
          <cell r="C2523" t="str">
            <v>M19</v>
          </cell>
        </row>
        <row r="2524">
          <cell r="B2524" t="str">
            <v>1905-5YY0428EN</v>
          </cell>
          <cell r="C2524" t="str">
            <v>M19</v>
          </cell>
        </row>
        <row r="2525">
          <cell r="B2525" t="str">
            <v>1905-5YY0429EN</v>
          </cell>
          <cell r="C2525" t="str">
            <v>M19</v>
          </cell>
        </row>
        <row r="2526">
          <cell r="B2526" t="str">
            <v>1905-5YY0463AN</v>
          </cell>
          <cell r="C2526" t="str">
            <v>M19</v>
          </cell>
        </row>
        <row r="2527">
          <cell r="B2527" t="str">
            <v>1905-5YY0463E1</v>
          </cell>
          <cell r="C2527" t="str">
            <v>M19</v>
          </cell>
        </row>
        <row r="2528">
          <cell r="B2528" t="str">
            <v>1905-5YY0463EN</v>
          </cell>
          <cell r="C2528" t="str">
            <v>M19</v>
          </cell>
        </row>
        <row r="2529">
          <cell r="B2529" t="str">
            <v>1905-5YY0463RN/MX</v>
          </cell>
          <cell r="C2529" t="str">
            <v>M19</v>
          </cell>
        </row>
        <row r="2530">
          <cell r="B2530" t="str">
            <v>1905-5YY0564AN/MX</v>
          </cell>
          <cell r="C2530" t="str">
            <v>M19</v>
          </cell>
        </row>
        <row r="2531">
          <cell r="B2531" t="str">
            <v>1905-5YY0564RN/MX</v>
          </cell>
          <cell r="C2531" t="str">
            <v>M19</v>
          </cell>
        </row>
        <row r="2532">
          <cell r="B2532" t="str">
            <v>1905-5YY0567AN/MX</v>
          </cell>
          <cell r="C2532" t="str">
            <v>M19</v>
          </cell>
        </row>
        <row r="2533">
          <cell r="B2533" t="str">
            <v>1905-5YY0567E1</v>
          </cell>
          <cell r="C2533" t="str">
            <v>M19</v>
          </cell>
        </row>
        <row r="2534">
          <cell r="B2534" t="str">
            <v>1905-5YY0567RN/MX</v>
          </cell>
          <cell r="C2534" t="str">
            <v>M19</v>
          </cell>
        </row>
        <row r="2535">
          <cell r="B2535" t="str">
            <v>1905-5YY0568AN/MX</v>
          </cell>
          <cell r="C2535" t="str">
            <v>M19</v>
          </cell>
        </row>
        <row r="2536">
          <cell r="B2536" t="str">
            <v>1905-5YY0568E1</v>
          </cell>
          <cell r="C2536" t="str">
            <v>M19</v>
          </cell>
        </row>
        <row r="2537">
          <cell r="B2537" t="str">
            <v>1905-5YY0568RN/MX</v>
          </cell>
          <cell r="C2537" t="str">
            <v>M19</v>
          </cell>
        </row>
        <row r="2538">
          <cell r="B2538" t="str">
            <v>1905-5YY0569EN</v>
          </cell>
          <cell r="C2538" t="str">
            <v>M19</v>
          </cell>
        </row>
        <row r="2539">
          <cell r="B2539" t="str">
            <v>1905-5YY0569RN/MX</v>
          </cell>
          <cell r="C2539" t="str">
            <v>M19</v>
          </cell>
        </row>
        <row r="2540">
          <cell r="B2540" t="str">
            <v>1905-5YY0697AN/MX</v>
          </cell>
          <cell r="C2540" t="str">
            <v>M19</v>
          </cell>
        </row>
        <row r="2541">
          <cell r="B2541" t="str">
            <v>1905-5YY0697RN/MX</v>
          </cell>
          <cell r="C2541" t="str">
            <v>M19</v>
          </cell>
        </row>
        <row r="2542">
          <cell r="B2542" t="str">
            <v>1905-5YY0702AN/MX</v>
          </cell>
          <cell r="C2542" t="str">
            <v>M19</v>
          </cell>
        </row>
        <row r="2543">
          <cell r="B2543" t="str">
            <v>1905-5YY0702RN/MX</v>
          </cell>
          <cell r="C2543" t="str">
            <v>M19</v>
          </cell>
        </row>
        <row r="2544">
          <cell r="B2544" t="str">
            <v>1905-5YY0705EN/MX</v>
          </cell>
          <cell r="C2544" t="str">
            <v>M19</v>
          </cell>
        </row>
        <row r="2545">
          <cell r="B2545" t="str">
            <v>1905-5YY0781-0000RN</v>
          </cell>
          <cell r="C2545" t="str">
            <v>M19</v>
          </cell>
        </row>
        <row r="2546">
          <cell r="B2546" t="str">
            <v>1905-5YY0781AN</v>
          </cell>
          <cell r="C2546" t="str">
            <v>M19</v>
          </cell>
        </row>
        <row r="2547">
          <cell r="B2547" t="str">
            <v>1905-5YY0792AN</v>
          </cell>
          <cell r="C2547" t="str">
            <v>M19</v>
          </cell>
        </row>
        <row r="2548">
          <cell r="B2548" t="str">
            <v>1905-5YY0792EN</v>
          </cell>
          <cell r="C2548" t="str">
            <v>M19</v>
          </cell>
        </row>
        <row r="2549">
          <cell r="B2549" t="str">
            <v>1905-5YY0792RN</v>
          </cell>
          <cell r="C2549" t="str">
            <v>M19</v>
          </cell>
        </row>
        <row r="2550">
          <cell r="B2550" t="str">
            <v>1905-5YY0830AN</v>
          </cell>
          <cell r="C2550" t="str">
            <v>M19</v>
          </cell>
        </row>
        <row r="2551">
          <cell r="B2551" t="str">
            <v>1905-5YY0830RN</v>
          </cell>
          <cell r="C2551" t="str">
            <v>M19</v>
          </cell>
        </row>
        <row r="2552">
          <cell r="B2552" t="str">
            <v>1905-5YY0831E1</v>
          </cell>
          <cell r="C2552" t="str">
            <v>M19</v>
          </cell>
        </row>
        <row r="2553">
          <cell r="B2553" t="str">
            <v>1905-5YY0831EN</v>
          </cell>
          <cell r="C2553" t="str">
            <v>M19</v>
          </cell>
        </row>
        <row r="2554">
          <cell r="B2554" t="str">
            <v>1905-5YY0864RN</v>
          </cell>
          <cell r="C2554" t="str">
            <v>M19</v>
          </cell>
        </row>
        <row r="2555">
          <cell r="B2555" t="str">
            <v>1905-5YY0875RN</v>
          </cell>
          <cell r="C2555" t="str">
            <v>M19</v>
          </cell>
        </row>
        <row r="2556">
          <cell r="B2556" t="str">
            <v>1905-5YY0937E1</v>
          </cell>
          <cell r="C2556" t="str">
            <v>M19</v>
          </cell>
        </row>
        <row r="2557">
          <cell r="B2557" t="str">
            <v>1905-5YY0937RN</v>
          </cell>
          <cell r="C2557" t="str">
            <v>M19</v>
          </cell>
        </row>
        <row r="2558">
          <cell r="B2558" t="str">
            <v>1999-5YY0704EN</v>
          </cell>
          <cell r="C2558" t="str">
            <v>M19</v>
          </cell>
        </row>
        <row r="2559">
          <cell r="B2559" t="str">
            <v>1999-5YY0711EN</v>
          </cell>
          <cell r="C2559" t="str">
            <v>M19</v>
          </cell>
        </row>
        <row r="2560">
          <cell r="B2560" t="str">
            <v>1999-5YY0729/RS</v>
          </cell>
          <cell r="C2560" t="str">
            <v>M19</v>
          </cell>
        </row>
        <row r="2561">
          <cell r="B2561" t="str">
            <v>1999-5YY0743/MX</v>
          </cell>
          <cell r="C2561" t="str">
            <v>M19</v>
          </cell>
        </row>
        <row r="2562">
          <cell r="B2562" t="str">
            <v>1999-5YY0770/MX</v>
          </cell>
          <cell r="C2562" t="str">
            <v>M19</v>
          </cell>
        </row>
        <row r="2563">
          <cell r="B2563" t="str">
            <v>1999-5YY0770EN</v>
          </cell>
          <cell r="C2563" t="str">
            <v>M19</v>
          </cell>
        </row>
        <row r="2564">
          <cell r="B2564" t="str">
            <v>1999-5YY0771/MX</v>
          </cell>
          <cell r="C2564" t="str">
            <v>M19</v>
          </cell>
        </row>
        <row r="2565">
          <cell r="B2565" t="str">
            <v>1999-5YY0771EN</v>
          </cell>
          <cell r="C2565" t="str">
            <v>M19</v>
          </cell>
        </row>
        <row r="2566">
          <cell r="B2566" t="str">
            <v>1999-5YY0776EN</v>
          </cell>
          <cell r="C2566" t="str">
            <v>M19</v>
          </cell>
        </row>
        <row r="2567">
          <cell r="B2567" t="str">
            <v>1999-5YY0789EN</v>
          </cell>
          <cell r="C2567" t="str">
            <v>M19</v>
          </cell>
        </row>
        <row r="2568">
          <cell r="B2568" t="str">
            <v>1999-5YY0790EN</v>
          </cell>
          <cell r="C2568" t="str">
            <v>M19</v>
          </cell>
        </row>
        <row r="2569">
          <cell r="B2569" t="str">
            <v>1999-5YY0806EN</v>
          </cell>
          <cell r="C2569" t="str">
            <v>M19</v>
          </cell>
        </row>
        <row r="2570">
          <cell r="B2570" t="str">
            <v>1999-5YY0821EN</v>
          </cell>
          <cell r="C2570" t="str">
            <v>M19</v>
          </cell>
        </row>
        <row r="2571">
          <cell r="B2571" t="str">
            <v>1999-5YY0825EN</v>
          </cell>
          <cell r="C2571" t="str">
            <v>M19</v>
          </cell>
        </row>
        <row r="2572">
          <cell r="B2572" t="str">
            <v>1999-5YY0830EN</v>
          </cell>
          <cell r="C2572" t="str">
            <v>M19</v>
          </cell>
        </row>
        <row r="2573">
          <cell r="B2573" t="str">
            <v>1999-5YY0833EN</v>
          </cell>
          <cell r="C2573" t="str">
            <v>M19</v>
          </cell>
        </row>
        <row r="2574">
          <cell r="B2574" t="str">
            <v>1999-5YY0840EN</v>
          </cell>
          <cell r="C2574" t="str">
            <v>M19</v>
          </cell>
        </row>
        <row r="2575">
          <cell r="B2575" t="str">
            <v>1999-5YY0847EN</v>
          </cell>
          <cell r="C2575" t="str">
            <v>M19</v>
          </cell>
        </row>
        <row r="2576">
          <cell r="B2576" t="str">
            <v>1999-5YY0848RN/MX</v>
          </cell>
          <cell r="C2576" t="str">
            <v>M19</v>
          </cell>
        </row>
        <row r="2577">
          <cell r="B2577" t="str">
            <v>1999-5YY0858</v>
          </cell>
          <cell r="C2577" t="str">
            <v>M19</v>
          </cell>
        </row>
        <row r="2578">
          <cell r="B2578" t="str">
            <v>1999-5YY0863EN</v>
          </cell>
          <cell r="C2578" t="str">
            <v>M19</v>
          </cell>
        </row>
        <row r="2579">
          <cell r="B2579" t="str">
            <v>1999-5YY0870EN</v>
          </cell>
          <cell r="C2579" t="str">
            <v>M19</v>
          </cell>
        </row>
        <row r="2580">
          <cell r="B2580" t="str">
            <v>1999-5YY0871EN</v>
          </cell>
          <cell r="C2580" t="str">
            <v>M19</v>
          </cell>
        </row>
        <row r="2581">
          <cell r="B2581" t="str">
            <v>1999-5YY0884/MX</v>
          </cell>
          <cell r="C2581" t="str">
            <v>M19</v>
          </cell>
        </row>
        <row r="2582">
          <cell r="B2582" t="str">
            <v>1999-5YY0884EN</v>
          </cell>
          <cell r="C2582" t="str">
            <v>M19</v>
          </cell>
        </row>
        <row r="2583">
          <cell r="B2583" t="str">
            <v>1999-5YY0885EN/RS</v>
          </cell>
          <cell r="C2583" t="str">
            <v>M19</v>
          </cell>
        </row>
        <row r="2584">
          <cell r="B2584" t="str">
            <v>1999-5YY0896EN/RS</v>
          </cell>
          <cell r="C2584" t="str">
            <v>M19</v>
          </cell>
        </row>
        <row r="2585">
          <cell r="B2585" t="str">
            <v>1999-5YY0898/MX</v>
          </cell>
          <cell r="C2585" t="str">
            <v>M19</v>
          </cell>
        </row>
        <row r="2586">
          <cell r="B2586" t="str">
            <v>1999-5YY0898EN</v>
          </cell>
          <cell r="C2586" t="str">
            <v>M19</v>
          </cell>
        </row>
        <row r="2587">
          <cell r="B2587" t="str">
            <v>1999-5YY0900/MX</v>
          </cell>
          <cell r="C2587" t="str">
            <v>M19</v>
          </cell>
        </row>
        <row r="2588">
          <cell r="B2588" t="str">
            <v>1999-5YY0915</v>
          </cell>
          <cell r="C2588" t="str">
            <v>M19</v>
          </cell>
        </row>
        <row r="2589">
          <cell r="B2589" t="str">
            <v>1999-5YY0917</v>
          </cell>
          <cell r="C2589" t="str">
            <v>M19</v>
          </cell>
        </row>
        <row r="2590">
          <cell r="B2590" t="str">
            <v>1999-5YY0920EN</v>
          </cell>
          <cell r="C2590" t="str">
            <v>M19</v>
          </cell>
        </row>
        <row r="2591">
          <cell r="B2591" t="str">
            <v>1999-5YY0935EN</v>
          </cell>
          <cell r="C2591" t="str">
            <v>M19</v>
          </cell>
        </row>
        <row r="2592">
          <cell r="B2592" t="str">
            <v>1999-5YY0936EN</v>
          </cell>
          <cell r="C2592" t="str">
            <v>M19</v>
          </cell>
        </row>
        <row r="2593">
          <cell r="B2593" t="str">
            <v>1999-5YY0937EN</v>
          </cell>
          <cell r="C2593" t="str">
            <v>M19</v>
          </cell>
        </row>
        <row r="2594">
          <cell r="B2594" t="str">
            <v>1999-5YY0949EN</v>
          </cell>
          <cell r="C2594" t="str">
            <v>M19</v>
          </cell>
        </row>
        <row r="2595">
          <cell r="B2595" t="str">
            <v>1999-5YY1079/MX</v>
          </cell>
          <cell r="C2595" t="str">
            <v>M19</v>
          </cell>
        </row>
        <row r="2596">
          <cell r="B2596" t="str">
            <v>1999-5YY1107EN</v>
          </cell>
          <cell r="C2596" t="str">
            <v>M19</v>
          </cell>
        </row>
        <row r="2597">
          <cell r="B2597" t="str">
            <v>1999-5YY1115EN</v>
          </cell>
          <cell r="C2597" t="str">
            <v>M19</v>
          </cell>
        </row>
        <row r="2598">
          <cell r="B2598" t="str">
            <v>1999-5YY1117EN</v>
          </cell>
          <cell r="C2598" t="str">
            <v>M19</v>
          </cell>
        </row>
        <row r="2599">
          <cell r="B2599" t="str">
            <v>1999-5YY1126EN</v>
          </cell>
          <cell r="C2599" t="str">
            <v>M19</v>
          </cell>
        </row>
        <row r="2600">
          <cell r="B2600" t="str">
            <v>1999-5YY1145EN</v>
          </cell>
          <cell r="C2600" t="str">
            <v>M19</v>
          </cell>
        </row>
        <row r="2601">
          <cell r="B2601" t="str">
            <v>1999-5YY1148EN</v>
          </cell>
          <cell r="C2601" t="str">
            <v>M19</v>
          </cell>
        </row>
        <row r="2602">
          <cell r="B2602" t="str">
            <v>1999-5YY1149EN</v>
          </cell>
          <cell r="C2602" t="str">
            <v>M19</v>
          </cell>
        </row>
        <row r="2603">
          <cell r="B2603" t="str">
            <v>1999-5YY1151EN</v>
          </cell>
          <cell r="C2603" t="str">
            <v>M19</v>
          </cell>
        </row>
        <row r="2604">
          <cell r="B2604" t="str">
            <v>1999-5YY1152AN</v>
          </cell>
          <cell r="C2604" t="str">
            <v>M19</v>
          </cell>
        </row>
        <row r="2605">
          <cell r="B2605" t="str">
            <v>1999-5YY1152EN</v>
          </cell>
          <cell r="C2605" t="str">
            <v>M19</v>
          </cell>
        </row>
        <row r="2606">
          <cell r="B2606" t="str">
            <v>1999-5YY1170</v>
          </cell>
          <cell r="C2606" t="str">
            <v>M19</v>
          </cell>
        </row>
        <row r="2607">
          <cell r="B2607" t="str">
            <v>1999-5YY1171EN</v>
          </cell>
          <cell r="C2607" t="str">
            <v>M19</v>
          </cell>
        </row>
        <row r="2608">
          <cell r="B2608" t="str">
            <v>1999-5YY1204</v>
          </cell>
          <cell r="C2608" t="str">
            <v>M19</v>
          </cell>
        </row>
        <row r="2609">
          <cell r="B2609" t="str">
            <v>1999-5YY1231EN</v>
          </cell>
          <cell r="C2609" t="str">
            <v>M19</v>
          </cell>
        </row>
        <row r="2610">
          <cell r="B2610" t="str">
            <v>1999-5YY1236EN</v>
          </cell>
          <cell r="C2610" t="str">
            <v>M19</v>
          </cell>
        </row>
        <row r="2611">
          <cell r="B2611" t="str">
            <v>1999-5YY1255EN</v>
          </cell>
          <cell r="C2611" t="str">
            <v>M19</v>
          </cell>
        </row>
        <row r="2612">
          <cell r="B2612" t="str">
            <v>1999-5YY1256EN</v>
          </cell>
          <cell r="C2612" t="str">
            <v>M19</v>
          </cell>
        </row>
        <row r="2613">
          <cell r="B2613" t="str">
            <v>1999-5YY1259EN</v>
          </cell>
          <cell r="C2613" t="str">
            <v>M19</v>
          </cell>
        </row>
        <row r="2614">
          <cell r="B2614" t="str">
            <v>1999-5YY1264AN</v>
          </cell>
          <cell r="C2614" t="str">
            <v>M19</v>
          </cell>
        </row>
        <row r="2615">
          <cell r="B2615" t="str">
            <v>1999-5YY1264EN</v>
          </cell>
          <cell r="C2615" t="str">
            <v>M19</v>
          </cell>
        </row>
        <row r="2616">
          <cell r="B2616" t="str">
            <v>1999-5YY1275</v>
          </cell>
          <cell r="C2616" t="str">
            <v>M19</v>
          </cell>
        </row>
        <row r="2617">
          <cell r="B2617" t="str">
            <v>1999-5YY1275EN</v>
          </cell>
          <cell r="C2617" t="str">
            <v>M19</v>
          </cell>
        </row>
        <row r="2618">
          <cell r="B2618" t="str">
            <v>1999-5YY1339EN</v>
          </cell>
          <cell r="C2618" t="str">
            <v>M19</v>
          </cell>
        </row>
        <row r="2619">
          <cell r="B2619" t="str">
            <v>1999-5YY1343EN</v>
          </cell>
          <cell r="C2619" t="str">
            <v>M19</v>
          </cell>
        </row>
        <row r="2620">
          <cell r="B2620" t="str">
            <v>1999-5YY1361</v>
          </cell>
          <cell r="C2620" t="str">
            <v>M19</v>
          </cell>
        </row>
        <row r="2621">
          <cell r="B2621" t="str">
            <v>1999-5YY1385EN</v>
          </cell>
          <cell r="C2621" t="str">
            <v>M19</v>
          </cell>
        </row>
        <row r="2622">
          <cell r="B2622" t="str">
            <v>1999-5YY1387</v>
          </cell>
          <cell r="C2622" t="str">
            <v>M19</v>
          </cell>
        </row>
        <row r="2623">
          <cell r="B2623" t="str">
            <v>1999-5YY1426EN</v>
          </cell>
          <cell r="C2623" t="str">
            <v>M19</v>
          </cell>
        </row>
        <row r="2624">
          <cell r="B2624" t="str">
            <v>1999-5YY1445EN</v>
          </cell>
          <cell r="C2624" t="str">
            <v>M19</v>
          </cell>
        </row>
        <row r="2625">
          <cell r="B2625" t="str">
            <v>1999-5YY1449EN</v>
          </cell>
          <cell r="C2625" t="str">
            <v>M19</v>
          </cell>
        </row>
        <row r="2626">
          <cell r="B2626" t="str">
            <v>1999-5YY1450EN</v>
          </cell>
          <cell r="C2626" t="str">
            <v>M19</v>
          </cell>
        </row>
        <row r="2627">
          <cell r="B2627" t="str">
            <v>1999-5YY2017EN</v>
          </cell>
          <cell r="C2627" t="str">
            <v>M19</v>
          </cell>
        </row>
        <row r="2628">
          <cell r="B2628" t="str">
            <v>1999-5YY2042EN</v>
          </cell>
          <cell r="C2628" t="str">
            <v>M19</v>
          </cell>
        </row>
        <row r="2629">
          <cell r="B2629" t="str">
            <v>1999-5YY2043EN</v>
          </cell>
          <cell r="C2629" t="str">
            <v>M19</v>
          </cell>
        </row>
        <row r="2630">
          <cell r="B2630" t="str">
            <v>1999-5YY2044AN</v>
          </cell>
          <cell r="C2630" t="str">
            <v>M19</v>
          </cell>
        </row>
        <row r="2631">
          <cell r="B2631" t="str">
            <v>1999-5YY2044EN</v>
          </cell>
          <cell r="C2631" t="str">
            <v>M19</v>
          </cell>
        </row>
        <row r="2632">
          <cell r="B2632" t="str">
            <v>1999-5YY2045EN</v>
          </cell>
          <cell r="C2632" t="str">
            <v>M19</v>
          </cell>
        </row>
        <row r="2633">
          <cell r="B2633" t="str">
            <v>20710-52100</v>
          </cell>
          <cell r="C2633" t="str">
            <v>M19</v>
          </cell>
        </row>
        <row r="2634">
          <cell r="B2634" t="str">
            <v>20710-53900</v>
          </cell>
          <cell r="C2634" t="str">
            <v>M19</v>
          </cell>
        </row>
        <row r="2635">
          <cell r="B2635" t="str">
            <v>20711-52100</v>
          </cell>
          <cell r="C2635" t="str">
            <v>M19</v>
          </cell>
        </row>
        <row r="2636">
          <cell r="B2636" t="str">
            <v>21100-57200</v>
          </cell>
          <cell r="C2636" t="str">
            <v>M19</v>
          </cell>
        </row>
        <row r="2637">
          <cell r="B2637" t="str">
            <v>CC-D-1200X1000X80</v>
          </cell>
          <cell r="C2637" t="str">
            <v>M19</v>
          </cell>
        </row>
        <row r="2638">
          <cell r="B2638" t="str">
            <v>CC-D-1200x800x80</v>
          </cell>
          <cell r="C2638" t="str">
            <v>M19</v>
          </cell>
        </row>
        <row r="2639">
          <cell r="B2639" t="str">
            <v>CPCSSSP2001/EP</v>
          </cell>
          <cell r="C2639" t="str">
            <v>M19</v>
          </cell>
        </row>
        <row r="2640">
          <cell r="B2640" t="str">
            <v>CPLBPA004/1</v>
          </cell>
          <cell r="C2640" t="str">
            <v>M19</v>
          </cell>
        </row>
        <row r="2641">
          <cell r="B2641" t="str">
            <v>CPLBPA006/1</v>
          </cell>
          <cell r="C2641" t="str">
            <v>M19</v>
          </cell>
        </row>
        <row r="2642">
          <cell r="B2642" t="str">
            <v>CPPKPB005/1</v>
          </cell>
          <cell r="C2642" t="str">
            <v>M19</v>
          </cell>
        </row>
        <row r="2643">
          <cell r="B2643" t="str">
            <v>CPPKPG001</v>
          </cell>
          <cell r="C2643" t="str">
            <v>M19</v>
          </cell>
        </row>
        <row r="2644">
          <cell r="B2644" t="str">
            <v>CPPKPW007/1</v>
          </cell>
          <cell r="C2644" t="str">
            <v>M19</v>
          </cell>
        </row>
        <row r="2645">
          <cell r="B2645" t="str">
            <v>CPPKPW013/1</v>
          </cell>
          <cell r="C2645" t="str">
            <v>M19</v>
          </cell>
        </row>
        <row r="2646">
          <cell r="B2646" t="str">
            <v>CPPKPW1200X800</v>
          </cell>
          <cell r="C2646" t="str">
            <v>M19</v>
          </cell>
        </row>
        <row r="2647">
          <cell r="B2647" t="str">
            <v>CS-S-1185X985X865</v>
          </cell>
          <cell r="C2647" t="str">
            <v>M19</v>
          </cell>
        </row>
        <row r="2648">
          <cell r="B2648" t="str">
            <v>CS-S-1185x785x840</v>
          </cell>
          <cell r="C2648" t="str">
            <v>M19</v>
          </cell>
        </row>
        <row r="2649">
          <cell r="B2649" t="str">
            <v>CT-D-380X385X80</v>
          </cell>
          <cell r="C2649" t="str">
            <v>M19</v>
          </cell>
        </row>
        <row r="2650">
          <cell r="B2650" t="str">
            <v>CT-D-480X385X90</v>
          </cell>
          <cell r="C2650" t="str">
            <v>M19</v>
          </cell>
        </row>
        <row r="2651">
          <cell r="B2651" t="str">
            <v>RMARCP77</v>
          </cell>
          <cell r="C2651" t="str">
            <v>M19</v>
          </cell>
        </row>
        <row r="2652">
          <cell r="B2652" t="str">
            <v>RMPPSB001X110</v>
          </cell>
          <cell r="C2652" t="str">
            <v>M19</v>
          </cell>
        </row>
        <row r="2653">
          <cell r="B2653" t="str">
            <v>RMSFRL001X460</v>
          </cell>
          <cell r="C2653" t="str">
            <v>M19</v>
          </cell>
        </row>
        <row r="2654">
          <cell r="B2654" t="str">
            <v>RMSISC157X050</v>
          </cell>
          <cell r="C2654" t="str">
            <v>M19</v>
          </cell>
        </row>
        <row r="2655">
          <cell r="B2655" t="str">
            <v>RMTPPP002X635</v>
          </cell>
          <cell r="C2655" t="str">
            <v>M19</v>
          </cell>
        </row>
        <row r="2656">
          <cell r="B2656" t="str">
            <v>SURCHARGE </v>
          </cell>
          <cell r="C2656" t="str">
            <v>M19</v>
          </cell>
        </row>
        <row r="2657">
          <cell r="B2657" t="str">
            <v>1438-5YY0276</v>
          </cell>
          <cell r="C2657" t="str">
            <v>MCS</v>
          </cell>
        </row>
        <row r="2658">
          <cell r="B2658" t="str">
            <v>0010-1060001-0109</v>
          </cell>
          <cell r="C2658" t="str">
            <v>MCS</v>
          </cell>
        </row>
        <row r="2659">
          <cell r="B2659" t="str">
            <v>0010-106A007-0099</v>
          </cell>
          <cell r="C2659" t="str">
            <v>MCS</v>
          </cell>
        </row>
        <row r="2660">
          <cell r="B2660" t="str">
            <v>0010-106A008-0052</v>
          </cell>
          <cell r="C2660" t="str">
            <v>MCS</v>
          </cell>
        </row>
        <row r="2661">
          <cell r="B2661" t="str">
            <v>0010-106A008-0057</v>
          </cell>
          <cell r="C2661" t="str">
            <v>MCS</v>
          </cell>
        </row>
        <row r="2662">
          <cell r="B2662" t="str">
            <v>0010-G06A007XX0099</v>
          </cell>
          <cell r="C2662" t="str">
            <v>MCS</v>
          </cell>
        </row>
        <row r="2663">
          <cell r="B2663" t="str">
            <v>0011-103A011-0175</v>
          </cell>
          <cell r="C2663" t="str">
            <v>MCS</v>
          </cell>
        </row>
        <row r="2664">
          <cell r="B2664" t="str">
            <v>0011-M03A007-0125</v>
          </cell>
          <cell r="C2664" t="str">
            <v>MCS</v>
          </cell>
        </row>
        <row r="2665">
          <cell r="B2665" t="str">
            <v>0011-M03A008-0052</v>
          </cell>
          <cell r="C2665" t="str">
            <v>MCS</v>
          </cell>
        </row>
        <row r="2666">
          <cell r="B2666" t="str">
            <v>0011-M03A008-0057</v>
          </cell>
          <cell r="C2666" t="str">
            <v>MCS</v>
          </cell>
        </row>
        <row r="2667">
          <cell r="B2667" t="str">
            <v>0013-G02A005XX0127</v>
          </cell>
          <cell r="C2667" t="str">
            <v>MCS</v>
          </cell>
        </row>
        <row r="2668">
          <cell r="B2668" t="str">
            <v>0013-102A005-0127</v>
          </cell>
          <cell r="C2668" t="str">
            <v>MCS</v>
          </cell>
        </row>
        <row r="2669">
          <cell r="B2669" t="str">
            <v>0013-104A005-0174</v>
          </cell>
          <cell r="C2669" t="str">
            <v>MCS</v>
          </cell>
        </row>
        <row r="2670">
          <cell r="B2670" t="str">
            <v>0013-104A005-0035</v>
          </cell>
          <cell r="C2670" t="str">
            <v>MCS</v>
          </cell>
        </row>
        <row r="2671">
          <cell r="B2671" t="str">
            <v>0013-G04A005-0138</v>
          </cell>
          <cell r="C2671" t="str">
            <v>MCS</v>
          </cell>
        </row>
        <row r="2672">
          <cell r="B2672" t="str">
            <v>0013-G04A005XX0063</v>
          </cell>
          <cell r="C2672" t="str">
            <v>MCS</v>
          </cell>
        </row>
        <row r="2673">
          <cell r="B2673" t="str">
            <v>0013-G04A005XX0093</v>
          </cell>
          <cell r="C2673" t="str">
            <v>MCS</v>
          </cell>
        </row>
        <row r="2674">
          <cell r="B2674" t="str">
            <v>0013-G04A005XX0157</v>
          </cell>
          <cell r="C2674" t="str">
            <v>MCS</v>
          </cell>
        </row>
        <row r="2675">
          <cell r="B2675" t="str">
            <v>0013-G09A005XX0105</v>
          </cell>
          <cell r="C2675" t="str">
            <v>MCS</v>
          </cell>
        </row>
        <row r="2676">
          <cell r="B2676" t="str">
            <v>0013-G09A005XX0110</v>
          </cell>
          <cell r="C2676" t="str">
            <v>MCS</v>
          </cell>
        </row>
        <row r="2677">
          <cell r="B2677" t="str">
            <v>0013-G09A005XX0127</v>
          </cell>
          <cell r="C2677" t="str">
            <v>MCS</v>
          </cell>
        </row>
        <row r="2678">
          <cell r="B2678" t="str">
            <v>0018-1010001-0126</v>
          </cell>
          <cell r="C2678" t="str">
            <v>MCS</v>
          </cell>
        </row>
        <row r="2679">
          <cell r="B2679" t="str">
            <v>0018-1010002-0094</v>
          </cell>
          <cell r="C2679" t="str">
            <v>MCS</v>
          </cell>
        </row>
        <row r="2680">
          <cell r="B2680" t="str">
            <v>0018-1010002-0110</v>
          </cell>
          <cell r="C2680" t="str">
            <v>MCS</v>
          </cell>
        </row>
        <row r="2681">
          <cell r="B2681" t="str">
            <v>0018-1010002-0171</v>
          </cell>
          <cell r="C2681" t="str">
            <v>MCS</v>
          </cell>
        </row>
        <row r="2682">
          <cell r="B2682" t="str">
            <v>0018-101A012-0120</v>
          </cell>
          <cell r="C2682" t="str">
            <v>MCS</v>
          </cell>
        </row>
        <row r="2683">
          <cell r="B2683" t="str">
            <v>0018-101A023-0170</v>
          </cell>
          <cell r="C2683" t="str">
            <v>MCS</v>
          </cell>
        </row>
        <row r="2684">
          <cell r="B2684" t="str">
            <v>0018-101A025-0054</v>
          </cell>
          <cell r="C2684" t="str">
            <v>MCS</v>
          </cell>
        </row>
        <row r="2685">
          <cell r="B2685" t="str">
            <v>0063-1000005</v>
          </cell>
          <cell r="C2685" t="str">
            <v>MCS</v>
          </cell>
        </row>
        <row r="2686">
          <cell r="B2686" t="str">
            <v>0070-1040029-B</v>
          </cell>
          <cell r="C2686" t="str">
            <v>MCS</v>
          </cell>
        </row>
        <row r="2687">
          <cell r="B2687" t="str">
            <v>0070-1040029-N</v>
          </cell>
          <cell r="C2687" t="str">
            <v>MCS</v>
          </cell>
        </row>
        <row r="2688">
          <cell r="B2688" t="str">
            <v>0070-1040029EN</v>
          </cell>
          <cell r="C2688" t="str">
            <v>MCS</v>
          </cell>
        </row>
        <row r="2689">
          <cell r="B2689" t="str">
            <v>0070-1040033</v>
          </cell>
          <cell r="C2689" t="str">
            <v>MCS</v>
          </cell>
        </row>
        <row r="2690">
          <cell r="B2690" t="str">
            <v>0070-1100005-W</v>
          </cell>
          <cell r="C2690" t="str">
            <v>MCS</v>
          </cell>
        </row>
        <row r="2691">
          <cell r="B2691" t="str">
            <v>0070-1100018</v>
          </cell>
          <cell r="C2691" t="str">
            <v>MCS</v>
          </cell>
        </row>
        <row r="2692">
          <cell r="B2692" t="str">
            <v>0070-1100029</v>
          </cell>
          <cell r="C2692" t="str">
            <v>MCS</v>
          </cell>
        </row>
        <row r="2693">
          <cell r="B2693" t="str">
            <v>0070-1110019</v>
          </cell>
          <cell r="C2693" t="str">
            <v>MCS</v>
          </cell>
        </row>
        <row r="2694">
          <cell r="B2694" t="str">
            <v>0070-1130009-N</v>
          </cell>
          <cell r="C2694" t="str">
            <v>MCS</v>
          </cell>
        </row>
        <row r="2695">
          <cell r="B2695" t="str">
            <v>0070-1220004</v>
          </cell>
          <cell r="C2695" t="str">
            <v>MCS</v>
          </cell>
        </row>
        <row r="2696">
          <cell r="B2696" t="str">
            <v>0070-1250001</v>
          </cell>
          <cell r="C2696" t="str">
            <v>MCS</v>
          </cell>
        </row>
        <row r="2697">
          <cell r="B2697" t="str">
            <v>0070-5020000</v>
          </cell>
          <cell r="C2697" t="str">
            <v>MCS</v>
          </cell>
        </row>
        <row r="2698">
          <cell r="B2698" t="str">
            <v>0070-5020001</v>
          </cell>
          <cell r="C2698" t="str">
            <v>MCS</v>
          </cell>
        </row>
        <row r="2699">
          <cell r="B2699" t="str">
            <v>0070-5040006</v>
          </cell>
          <cell r="C2699" t="str">
            <v>MCS</v>
          </cell>
        </row>
        <row r="2700">
          <cell r="B2700" t="str">
            <v>0070-5050006</v>
          </cell>
          <cell r="C2700" t="str">
            <v>MCS</v>
          </cell>
        </row>
        <row r="2701">
          <cell r="B2701" t="str">
            <v>0070-5050006-RG</v>
          </cell>
          <cell r="C2701" t="str">
            <v>MCS</v>
          </cell>
        </row>
        <row r="2702">
          <cell r="B2702" t="str">
            <v>0070-5110009</v>
          </cell>
          <cell r="C2702" t="str">
            <v>MCS</v>
          </cell>
        </row>
        <row r="2703">
          <cell r="B2703" t="str">
            <v>0070-E050001</v>
          </cell>
          <cell r="C2703" t="str">
            <v>MCS</v>
          </cell>
        </row>
        <row r="2704">
          <cell r="B2704" t="str">
            <v>0070-E050002</v>
          </cell>
          <cell r="C2704" t="str">
            <v>MCS</v>
          </cell>
        </row>
        <row r="2705">
          <cell r="B2705" t="str">
            <v>0070-G020001</v>
          </cell>
          <cell r="C2705" t="str">
            <v>MCS</v>
          </cell>
        </row>
        <row r="2706">
          <cell r="B2706" t="str">
            <v>0070-G020001-B</v>
          </cell>
          <cell r="C2706" t="str">
            <v>MCS</v>
          </cell>
        </row>
        <row r="2707">
          <cell r="B2707" t="str">
            <v>0070-G020021</v>
          </cell>
          <cell r="C2707" t="str">
            <v>MCS</v>
          </cell>
        </row>
        <row r="2708">
          <cell r="B2708" t="str">
            <v>0070-G030001</v>
          </cell>
          <cell r="C2708" t="str">
            <v>MCS</v>
          </cell>
        </row>
        <row r="2709">
          <cell r="B2709" t="str">
            <v>0070-G040018</v>
          </cell>
          <cell r="C2709" t="str">
            <v>MCS</v>
          </cell>
        </row>
        <row r="2710">
          <cell r="B2710" t="str">
            <v>0070-G040019</v>
          </cell>
          <cell r="C2710" t="str">
            <v>MCS</v>
          </cell>
        </row>
        <row r="2711">
          <cell r="B2711" t="str">
            <v>0070-G040024</v>
          </cell>
          <cell r="C2711" t="str">
            <v>MCS</v>
          </cell>
        </row>
        <row r="2712">
          <cell r="B2712" t="str">
            <v>0070-G120003</v>
          </cell>
          <cell r="C2712" t="str">
            <v>MCS</v>
          </cell>
        </row>
        <row r="2713">
          <cell r="B2713" t="str">
            <v>0070-G120004</v>
          </cell>
          <cell r="C2713" t="str">
            <v>MCS</v>
          </cell>
        </row>
        <row r="2714">
          <cell r="B2714" t="str">
            <v>0070-G130002-B</v>
          </cell>
          <cell r="C2714" t="str">
            <v>MCS</v>
          </cell>
        </row>
        <row r="2715">
          <cell r="B2715" t="str">
            <v>0070-G130008EN</v>
          </cell>
          <cell r="C2715" t="str">
            <v>MCS</v>
          </cell>
        </row>
        <row r="2716">
          <cell r="B2716" t="str">
            <v>0070-M010001</v>
          </cell>
          <cell r="C2716" t="str">
            <v>MCS</v>
          </cell>
        </row>
        <row r="2717">
          <cell r="B2717" t="str">
            <v>0070-M010002</v>
          </cell>
          <cell r="C2717" t="str">
            <v>MCS</v>
          </cell>
        </row>
        <row r="2718">
          <cell r="B2718" t="str">
            <v>0070-M040002</v>
          </cell>
          <cell r="C2718" t="str">
            <v>MCS</v>
          </cell>
        </row>
        <row r="2719">
          <cell r="B2719" t="str">
            <v>0070-M040003</v>
          </cell>
          <cell r="C2719" t="str">
            <v>MCS</v>
          </cell>
        </row>
        <row r="2720">
          <cell r="B2720" t="str">
            <v>0070-M040004</v>
          </cell>
          <cell r="C2720" t="str">
            <v>MCS</v>
          </cell>
        </row>
        <row r="2721">
          <cell r="B2721" t="str">
            <v>0070-M040005</v>
          </cell>
          <cell r="C2721" t="str">
            <v>MCS</v>
          </cell>
        </row>
        <row r="2722">
          <cell r="B2722" t="str">
            <v>0070-M040006</v>
          </cell>
          <cell r="C2722" t="str">
            <v>MCS</v>
          </cell>
        </row>
        <row r="2723">
          <cell r="B2723" t="str">
            <v>0070-M050002-B</v>
          </cell>
          <cell r="C2723" t="str">
            <v>MCS</v>
          </cell>
        </row>
        <row r="2724">
          <cell r="B2724" t="str">
            <v>0070-M050003</v>
          </cell>
          <cell r="C2724" t="str">
            <v>MCS</v>
          </cell>
        </row>
        <row r="2725">
          <cell r="B2725" t="str">
            <v>0070-M050004-F</v>
          </cell>
          <cell r="C2725" t="str">
            <v>MCS</v>
          </cell>
        </row>
        <row r="2726">
          <cell r="B2726" t="str">
            <v>0070-M100001</v>
          </cell>
          <cell r="C2726" t="str">
            <v>MCS</v>
          </cell>
        </row>
        <row r="2727">
          <cell r="B2727" t="str">
            <v>0070-M110001</v>
          </cell>
          <cell r="C2727" t="str">
            <v>MCS</v>
          </cell>
        </row>
        <row r="2728">
          <cell r="B2728" t="str">
            <v>0070-M120001</v>
          </cell>
          <cell r="C2728" t="str">
            <v>MCS</v>
          </cell>
        </row>
        <row r="2729">
          <cell r="B2729" t="str">
            <v>0070-M130001</v>
          </cell>
          <cell r="C2729" t="str">
            <v>MCS</v>
          </cell>
        </row>
        <row r="2730">
          <cell r="B2730" t="str">
            <v>0070-M130001-B</v>
          </cell>
          <cell r="C2730" t="str">
            <v>MCS</v>
          </cell>
        </row>
        <row r="2731">
          <cell r="B2731" t="str">
            <v>0088-1000010EN</v>
          </cell>
          <cell r="C2731" t="str">
            <v>MCS</v>
          </cell>
        </row>
        <row r="2732">
          <cell r="B2732" t="str">
            <v>0088-1000034-B</v>
          </cell>
          <cell r="C2732" t="str">
            <v>MCS</v>
          </cell>
        </row>
        <row r="2733">
          <cell r="B2733" t="str">
            <v>0088-1000064-B</v>
          </cell>
          <cell r="C2733" t="str">
            <v>MCS</v>
          </cell>
        </row>
        <row r="2734">
          <cell r="B2734" t="str">
            <v>0088-1000066-B</v>
          </cell>
          <cell r="C2734" t="str">
            <v>MCS</v>
          </cell>
        </row>
        <row r="2735">
          <cell r="B2735" t="str">
            <v>0088-1000068-G</v>
          </cell>
          <cell r="C2735" t="str">
            <v>MCS</v>
          </cell>
        </row>
        <row r="2736">
          <cell r="B2736" t="str">
            <v>0088-1000096</v>
          </cell>
          <cell r="C2736" t="str">
            <v>MCS</v>
          </cell>
        </row>
        <row r="2737">
          <cell r="B2737" t="str">
            <v>1100-1E90121</v>
          </cell>
          <cell r="C2737" t="str">
            <v>MCS</v>
          </cell>
        </row>
        <row r="2738">
          <cell r="B2738" t="str">
            <v>1100-1E90251</v>
          </cell>
          <cell r="C2738" t="str">
            <v>MCS</v>
          </cell>
        </row>
        <row r="2739">
          <cell r="B2739" t="str">
            <v>1101-1120191EN</v>
          </cell>
          <cell r="C2739" t="str">
            <v>MCS</v>
          </cell>
        </row>
        <row r="2740">
          <cell r="B2740" t="str">
            <v>1101-1E90163EN</v>
          </cell>
          <cell r="C2740" t="str">
            <v>MCS</v>
          </cell>
        </row>
        <row r="2741">
          <cell r="B2741" t="str">
            <v>1101-1E90272EN</v>
          </cell>
          <cell r="C2741" t="str">
            <v>MCS</v>
          </cell>
        </row>
        <row r="2742">
          <cell r="B2742" t="str">
            <v>1102-1030096/MX</v>
          </cell>
          <cell r="C2742" t="str">
            <v>MCS</v>
          </cell>
        </row>
        <row r="2743">
          <cell r="B2743" t="str">
            <v>1102-1060016/MX</v>
          </cell>
          <cell r="C2743" t="str">
            <v>MCS</v>
          </cell>
        </row>
        <row r="2744">
          <cell r="B2744" t="str">
            <v>1102-5YY0068/MX</v>
          </cell>
          <cell r="C2744" t="str">
            <v>MCS</v>
          </cell>
        </row>
        <row r="2745">
          <cell r="B2745" t="str">
            <v>1102-5YY0069/MX</v>
          </cell>
          <cell r="C2745" t="str">
            <v>MCS</v>
          </cell>
        </row>
        <row r="2746">
          <cell r="B2746" t="str">
            <v>1102-M030001/MX</v>
          </cell>
          <cell r="C2746" t="str">
            <v>MCS</v>
          </cell>
        </row>
        <row r="2747">
          <cell r="B2747" t="str">
            <v>1103-5YY0068/MX</v>
          </cell>
          <cell r="C2747" t="str">
            <v>MCS</v>
          </cell>
        </row>
        <row r="2748">
          <cell r="B2748" t="str">
            <v>1103-5YY0078/MX</v>
          </cell>
          <cell r="C2748" t="str">
            <v>MCS</v>
          </cell>
        </row>
        <row r="2749">
          <cell r="B2749" t="str">
            <v>1103-5YY0090</v>
          </cell>
          <cell r="C2749" t="str">
            <v>MCS</v>
          </cell>
        </row>
        <row r="2750">
          <cell r="B2750" t="str">
            <v>1104-5YY0022/MX</v>
          </cell>
          <cell r="C2750" t="str">
            <v>MCS</v>
          </cell>
        </row>
        <row r="2751">
          <cell r="B2751" t="str">
            <v>1108-1YY0106EN</v>
          </cell>
          <cell r="C2751" t="str">
            <v>MCS</v>
          </cell>
        </row>
        <row r="2752">
          <cell r="B2752" t="str">
            <v>1108-1YY0107EN</v>
          </cell>
          <cell r="C2752" t="str">
            <v>MCS</v>
          </cell>
        </row>
        <row r="2753">
          <cell r="B2753" t="str">
            <v>1108-5YY0039</v>
          </cell>
          <cell r="C2753" t="str">
            <v>MCS</v>
          </cell>
        </row>
        <row r="2754">
          <cell r="B2754" t="str">
            <v>1108-5YY0042</v>
          </cell>
          <cell r="C2754" t="str">
            <v>MCS</v>
          </cell>
        </row>
        <row r="2755">
          <cell r="B2755" t="str">
            <v>1108-5YY0050</v>
          </cell>
          <cell r="C2755" t="str">
            <v>MCS</v>
          </cell>
        </row>
        <row r="2756">
          <cell r="B2756" t="str">
            <v>1111-5YY0148/MX</v>
          </cell>
          <cell r="C2756" t="str">
            <v>MCS</v>
          </cell>
        </row>
        <row r="2757">
          <cell r="B2757" t="str">
            <v>1111-5YY0167/MX</v>
          </cell>
          <cell r="C2757" t="str">
            <v>MCS</v>
          </cell>
        </row>
        <row r="2758">
          <cell r="B2758" t="str">
            <v>1111-5YY0199</v>
          </cell>
          <cell r="C2758" t="str">
            <v>MCS</v>
          </cell>
        </row>
        <row r="2759">
          <cell r="B2759" t="str">
            <v>1111-5YY0214/MX</v>
          </cell>
          <cell r="C2759" t="str">
            <v>MCS</v>
          </cell>
        </row>
        <row r="2760">
          <cell r="B2760" t="str">
            <v>1111-5YY0242/MX</v>
          </cell>
          <cell r="C2760" t="str">
            <v>MCS</v>
          </cell>
        </row>
        <row r="2761">
          <cell r="B2761" t="str">
            <v>1111-5YY0301</v>
          </cell>
          <cell r="C2761" t="str">
            <v>MCS</v>
          </cell>
        </row>
        <row r="2762">
          <cell r="B2762" t="str">
            <v>1111-5YY0318/MX</v>
          </cell>
          <cell r="C2762" t="str">
            <v>MCS</v>
          </cell>
        </row>
        <row r="2763">
          <cell r="B2763" t="str">
            <v>1111-5YY0332</v>
          </cell>
          <cell r="C2763" t="str">
            <v>MCS</v>
          </cell>
        </row>
        <row r="2764">
          <cell r="B2764" t="str">
            <v>1111-5YY0334</v>
          </cell>
          <cell r="C2764" t="str">
            <v>MCS</v>
          </cell>
        </row>
        <row r="2765">
          <cell r="B2765" t="str">
            <v>1111-5YY0375</v>
          </cell>
          <cell r="C2765" t="str">
            <v>MCS</v>
          </cell>
        </row>
        <row r="2766">
          <cell r="B2766" t="str">
            <v>1117-5YY0048</v>
          </cell>
          <cell r="C2766" t="str">
            <v>MCS</v>
          </cell>
        </row>
        <row r="2767">
          <cell r="B2767" t="str">
            <v>1117-5YY0048EN</v>
          </cell>
          <cell r="C2767" t="str">
            <v>MCS</v>
          </cell>
        </row>
        <row r="2768">
          <cell r="B2768" t="str">
            <v>1127-1120067</v>
          </cell>
          <cell r="C2768" t="str">
            <v>MCS</v>
          </cell>
        </row>
        <row r="2769">
          <cell r="B2769" t="str">
            <v>1127-1E90033</v>
          </cell>
          <cell r="C2769" t="str">
            <v>MCS</v>
          </cell>
        </row>
        <row r="2770">
          <cell r="B2770" t="str">
            <v>1127-1E90096</v>
          </cell>
          <cell r="C2770" t="str">
            <v>MCS</v>
          </cell>
        </row>
        <row r="2771">
          <cell r="B2771" t="str">
            <v>1127-5YY0009/MX</v>
          </cell>
          <cell r="C2771" t="str">
            <v>MCS</v>
          </cell>
        </row>
        <row r="2772">
          <cell r="B2772" t="str">
            <v>1128-1E90003EN</v>
          </cell>
          <cell r="C2772" t="str">
            <v>MCS</v>
          </cell>
        </row>
        <row r="2773">
          <cell r="B2773" t="str">
            <v>1128-5YY0018</v>
          </cell>
          <cell r="C2773" t="str">
            <v>MCS</v>
          </cell>
        </row>
        <row r="2774">
          <cell r="B2774" t="str">
            <v>1128-EQH0005</v>
          </cell>
          <cell r="C2774" t="str">
            <v>MCS</v>
          </cell>
        </row>
        <row r="2775">
          <cell r="B2775" t="str">
            <v>1132-5YY0009/MX</v>
          </cell>
          <cell r="C2775" t="str">
            <v>MCS</v>
          </cell>
        </row>
        <row r="2776">
          <cell r="B2776" t="str">
            <v>1132-5YY0012/MX</v>
          </cell>
          <cell r="C2776" t="str">
            <v>MCS</v>
          </cell>
        </row>
        <row r="2777">
          <cell r="B2777" t="str">
            <v>1132-5YY0013/MX</v>
          </cell>
          <cell r="C2777" t="str">
            <v>MCS</v>
          </cell>
        </row>
        <row r="2778">
          <cell r="B2778" t="str">
            <v>1132-5YY0029/MX</v>
          </cell>
          <cell r="C2778" t="str">
            <v>MCS</v>
          </cell>
        </row>
        <row r="2779">
          <cell r="B2779" t="str">
            <v>1132-5YY0031-21/MX</v>
          </cell>
          <cell r="C2779" t="str">
            <v>MCS</v>
          </cell>
        </row>
        <row r="2780">
          <cell r="B2780" t="str">
            <v>1132-5YY0031/MX</v>
          </cell>
          <cell r="C2780" t="str">
            <v>MCS</v>
          </cell>
        </row>
        <row r="2781">
          <cell r="B2781" t="str">
            <v>1132-5YY0032-21/MX</v>
          </cell>
          <cell r="C2781" t="str">
            <v>MCS</v>
          </cell>
        </row>
        <row r="2782">
          <cell r="B2782" t="str">
            <v>1132-5YY0032/MX</v>
          </cell>
          <cell r="C2782" t="str">
            <v>MCS</v>
          </cell>
        </row>
        <row r="2783">
          <cell r="B2783" t="str">
            <v>1132-5YY0033/MX</v>
          </cell>
          <cell r="C2783" t="str">
            <v>MCS</v>
          </cell>
        </row>
        <row r="2784">
          <cell r="B2784" t="str">
            <v>1132-5YY0033EN</v>
          </cell>
          <cell r="C2784" t="str">
            <v>MCS</v>
          </cell>
        </row>
        <row r="2785">
          <cell r="B2785" t="str">
            <v>1152-1120045</v>
          </cell>
          <cell r="C2785" t="str">
            <v>MCS</v>
          </cell>
        </row>
        <row r="2786">
          <cell r="B2786" t="str">
            <v>1152-5YY0079</v>
          </cell>
          <cell r="C2786" t="str">
            <v>MCS</v>
          </cell>
        </row>
        <row r="2787">
          <cell r="B2787" t="str">
            <v>1152-5YY0079/MX</v>
          </cell>
          <cell r="C2787" t="str">
            <v>MCS</v>
          </cell>
        </row>
        <row r="2788">
          <cell r="B2788" t="str">
            <v>1152-5YY0080</v>
          </cell>
          <cell r="C2788" t="str">
            <v>MCS</v>
          </cell>
        </row>
        <row r="2789">
          <cell r="B2789" t="str">
            <v>1152-5YY0080/MX</v>
          </cell>
          <cell r="C2789" t="str">
            <v>MCS</v>
          </cell>
        </row>
        <row r="2790">
          <cell r="B2790" t="str">
            <v>1152-5YY0081/MX</v>
          </cell>
          <cell r="C2790" t="str">
            <v>MCS</v>
          </cell>
        </row>
        <row r="2791">
          <cell r="B2791" t="str">
            <v>1152-5YY0087/MX</v>
          </cell>
          <cell r="C2791" t="str">
            <v>MCS</v>
          </cell>
        </row>
        <row r="2792">
          <cell r="B2792" t="str">
            <v>1152-5YY0089/MX</v>
          </cell>
          <cell r="C2792" t="str">
            <v>MCS</v>
          </cell>
        </row>
        <row r="2793">
          <cell r="B2793" t="str">
            <v>1152-5YY0090/MX</v>
          </cell>
          <cell r="C2793" t="str">
            <v>MCS</v>
          </cell>
        </row>
        <row r="2794">
          <cell r="B2794" t="str">
            <v>1152-5YY0092/MX</v>
          </cell>
          <cell r="C2794" t="str">
            <v>MCS</v>
          </cell>
        </row>
        <row r="2795">
          <cell r="B2795" t="str">
            <v>1152-5YY0094/MX</v>
          </cell>
          <cell r="C2795" t="str">
            <v>MCS</v>
          </cell>
        </row>
        <row r="2796">
          <cell r="B2796" t="str">
            <v>1152-5YY0095/MX</v>
          </cell>
          <cell r="C2796" t="str">
            <v>MCS</v>
          </cell>
        </row>
        <row r="2797">
          <cell r="B2797" t="str">
            <v>1152-5YY0108/MX</v>
          </cell>
          <cell r="C2797" t="str">
            <v>MCS</v>
          </cell>
        </row>
        <row r="2798">
          <cell r="B2798" t="str">
            <v>1152-5YY0109/MX</v>
          </cell>
          <cell r="C2798" t="str">
            <v>MCS</v>
          </cell>
        </row>
        <row r="2799">
          <cell r="B2799" t="str">
            <v>1152-5YY0148</v>
          </cell>
          <cell r="C2799" t="str">
            <v>MCS</v>
          </cell>
        </row>
        <row r="2800">
          <cell r="B2800" t="str">
            <v>1152-5YY0149</v>
          </cell>
          <cell r="C2800" t="str">
            <v>MCS</v>
          </cell>
        </row>
        <row r="2801">
          <cell r="B2801" t="str">
            <v>1152-5YY0158</v>
          </cell>
          <cell r="C2801" t="str">
            <v>MCS</v>
          </cell>
        </row>
        <row r="2802">
          <cell r="B2802" t="str">
            <v>1152-5YY0159</v>
          </cell>
          <cell r="C2802" t="str">
            <v>MCS</v>
          </cell>
        </row>
        <row r="2803">
          <cell r="B2803" t="str">
            <v>1152-5YY0168</v>
          </cell>
          <cell r="C2803" t="str">
            <v>MCS</v>
          </cell>
        </row>
        <row r="2804">
          <cell r="B2804" t="str">
            <v>1152-5YY0169</v>
          </cell>
          <cell r="C2804" t="str">
            <v>MCS</v>
          </cell>
        </row>
        <row r="2805">
          <cell r="B2805" t="str">
            <v>1152-5YY0175</v>
          </cell>
          <cell r="C2805" t="str">
            <v>MCS</v>
          </cell>
        </row>
        <row r="2806">
          <cell r="B2806" t="str">
            <v>1152-5YY0176</v>
          </cell>
          <cell r="C2806" t="str">
            <v>MCS</v>
          </cell>
        </row>
        <row r="2807">
          <cell r="B2807" t="str">
            <v>1158-1E90055EN</v>
          </cell>
          <cell r="C2807" t="str">
            <v>MCS</v>
          </cell>
        </row>
        <row r="2808">
          <cell r="B2808" t="str">
            <v>1200-1030440</v>
          </cell>
          <cell r="C2808" t="str">
            <v>MCS</v>
          </cell>
        </row>
        <row r="2809">
          <cell r="B2809" t="str">
            <v>1201-1040206/MX</v>
          </cell>
          <cell r="C2809" t="str">
            <v>MCS</v>
          </cell>
        </row>
        <row r="2810">
          <cell r="B2810" t="str">
            <v>1201-1E90123</v>
          </cell>
          <cell r="C2810" t="str">
            <v>MCS</v>
          </cell>
        </row>
        <row r="2811">
          <cell r="B2811" t="str">
            <v>1201-3120015</v>
          </cell>
          <cell r="C2811" t="str">
            <v>MCS</v>
          </cell>
        </row>
        <row r="2812">
          <cell r="B2812" t="str">
            <v>1201-5YY0064/MX</v>
          </cell>
          <cell r="C2812" t="str">
            <v>MCS</v>
          </cell>
        </row>
        <row r="2813">
          <cell r="B2813" t="str">
            <v>1201-M020002/MX</v>
          </cell>
          <cell r="C2813" t="str">
            <v>MCS</v>
          </cell>
        </row>
        <row r="2814">
          <cell r="B2814" t="str">
            <v>1201-M020004/MX</v>
          </cell>
          <cell r="C2814" t="str">
            <v>MCS</v>
          </cell>
        </row>
        <row r="2815">
          <cell r="B2815" t="str">
            <v>1201-M030001/MX</v>
          </cell>
          <cell r="C2815" t="str">
            <v>MCS</v>
          </cell>
        </row>
        <row r="2816">
          <cell r="B2816" t="str">
            <v>1201-M030005/MX</v>
          </cell>
          <cell r="C2816" t="str">
            <v>MCS</v>
          </cell>
        </row>
        <row r="2817">
          <cell r="B2817" t="str">
            <v>1202-1120045EN</v>
          </cell>
          <cell r="C2817" t="str">
            <v>MCS</v>
          </cell>
        </row>
        <row r="2818">
          <cell r="B2818" t="str">
            <v>1204-1120014</v>
          </cell>
          <cell r="C2818" t="str">
            <v>MCS</v>
          </cell>
        </row>
        <row r="2819">
          <cell r="B2819" t="str">
            <v>1204-1120014EN</v>
          </cell>
          <cell r="C2819" t="str">
            <v>MCS</v>
          </cell>
        </row>
        <row r="2820">
          <cell r="B2820" t="str">
            <v>1205-1030263-T1EN</v>
          </cell>
          <cell r="C2820" t="str">
            <v>MCS</v>
          </cell>
        </row>
        <row r="2821">
          <cell r="B2821" t="str">
            <v>1205-1030264-T1EN</v>
          </cell>
          <cell r="C2821" t="str">
            <v>MCS</v>
          </cell>
        </row>
        <row r="2822">
          <cell r="B2822" t="str">
            <v>1205-1030279-T1EN</v>
          </cell>
          <cell r="C2822" t="str">
            <v>MCS</v>
          </cell>
        </row>
        <row r="2823">
          <cell r="B2823" t="str">
            <v>1205-1030280-T1EN</v>
          </cell>
          <cell r="C2823" t="str">
            <v>MCS</v>
          </cell>
        </row>
        <row r="2824">
          <cell r="B2824" t="str">
            <v>1205-1030759EN</v>
          </cell>
          <cell r="C2824" t="str">
            <v>MCS</v>
          </cell>
        </row>
        <row r="2825">
          <cell r="B2825" t="str">
            <v>1205-1030760EN</v>
          </cell>
          <cell r="C2825" t="str">
            <v>MCS</v>
          </cell>
        </row>
        <row r="2826">
          <cell r="B2826" t="str">
            <v>1205-1030761EN</v>
          </cell>
          <cell r="C2826" t="str">
            <v>MCS</v>
          </cell>
        </row>
        <row r="2827">
          <cell r="B2827" t="str">
            <v>1205-1030762EN</v>
          </cell>
          <cell r="C2827" t="str">
            <v>MCS</v>
          </cell>
        </row>
        <row r="2828">
          <cell r="B2828" t="str">
            <v>1205-1030769EN</v>
          </cell>
          <cell r="C2828" t="str">
            <v>MCS</v>
          </cell>
        </row>
        <row r="2829">
          <cell r="B2829" t="str">
            <v>1205-1030770EN</v>
          </cell>
          <cell r="C2829" t="str">
            <v>MCS</v>
          </cell>
        </row>
        <row r="2830">
          <cell r="B2830" t="str">
            <v>1205-1120124-T1EN</v>
          </cell>
          <cell r="C2830" t="str">
            <v>MCS</v>
          </cell>
        </row>
        <row r="2831">
          <cell r="B2831" t="str">
            <v>1205-1120125-T1EN</v>
          </cell>
          <cell r="C2831" t="str">
            <v>MCS</v>
          </cell>
        </row>
        <row r="2832">
          <cell r="B2832" t="str">
            <v>1205-1120126-T1EN</v>
          </cell>
          <cell r="C2832" t="str">
            <v>MCS</v>
          </cell>
        </row>
        <row r="2833">
          <cell r="B2833" t="str">
            <v>1205-1120170EN</v>
          </cell>
          <cell r="C2833" t="str">
            <v>MCS</v>
          </cell>
        </row>
        <row r="2834">
          <cell r="B2834" t="str">
            <v>1205-1120171EN</v>
          </cell>
          <cell r="C2834" t="str">
            <v>MCS</v>
          </cell>
        </row>
        <row r="2835">
          <cell r="B2835" t="str">
            <v>1205-1120172EN</v>
          </cell>
          <cell r="C2835" t="str">
            <v>MCS</v>
          </cell>
        </row>
        <row r="2836">
          <cell r="B2836" t="str">
            <v>1205-1120173EN</v>
          </cell>
          <cell r="C2836" t="str">
            <v>MCS</v>
          </cell>
        </row>
        <row r="2837">
          <cell r="B2837" t="str">
            <v>1205-1120174EN</v>
          </cell>
          <cell r="C2837" t="str">
            <v>MCS</v>
          </cell>
        </row>
        <row r="2838">
          <cell r="B2838" t="str">
            <v>1205-1YY0555EN</v>
          </cell>
          <cell r="C2838" t="str">
            <v>MCS</v>
          </cell>
        </row>
        <row r="2839">
          <cell r="B2839" t="str">
            <v>1205-5YY0075-T2EN</v>
          </cell>
          <cell r="C2839" t="str">
            <v>MCS</v>
          </cell>
        </row>
        <row r="2840">
          <cell r="B2840" t="str">
            <v>1205-5YY0076-T2EN</v>
          </cell>
          <cell r="C2840" t="str">
            <v>MCS</v>
          </cell>
        </row>
        <row r="2841">
          <cell r="B2841" t="str">
            <v>1205-5YY0077-T2EN</v>
          </cell>
          <cell r="C2841" t="str">
            <v>MCS</v>
          </cell>
        </row>
        <row r="2842">
          <cell r="B2842" t="str">
            <v>1205-EQN0001EN</v>
          </cell>
          <cell r="C2842" t="str">
            <v>MCS</v>
          </cell>
        </row>
        <row r="2843">
          <cell r="B2843" t="str">
            <v>1205-EQN0002EN</v>
          </cell>
          <cell r="C2843" t="str">
            <v>MCS</v>
          </cell>
        </row>
        <row r="2844">
          <cell r="B2844" t="str">
            <v>1206-5YY0002/MX</v>
          </cell>
          <cell r="C2844" t="str">
            <v>MCS</v>
          </cell>
        </row>
        <row r="2845">
          <cell r="B2845" t="str">
            <v>1206-EJB0005</v>
          </cell>
          <cell r="C2845" t="str">
            <v>MCS</v>
          </cell>
        </row>
        <row r="2846">
          <cell r="B2846" t="str">
            <v>1209-1E90042-T1EN</v>
          </cell>
          <cell r="C2846" t="str">
            <v>MCS</v>
          </cell>
        </row>
        <row r="2847">
          <cell r="B2847" t="str">
            <v>1209-1E90043-T1EN</v>
          </cell>
          <cell r="C2847" t="str">
            <v>MCS</v>
          </cell>
        </row>
        <row r="2848">
          <cell r="B2848" t="str">
            <v>1209-1E90044-T1EN</v>
          </cell>
          <cell r="C2848" t="str">
            <v>MCS</v>
          </cell>
        </row>
        <row r="2849">
          <cell r="B2849" t="str">
            <v>1209-1E90054EN</v>
          </cell>
          <cell r="C2849" t="str">
            <v>MCS</v>
          </cell>
        </row>
        <row r="2850">
          <cell r="B2850" t="str">
            <v>1209-1E90055EN</v>
          </cell>
          <cell r="C2850" t="str">
            <v>MCS</v>
          </cell>
        </row>
        <row r="2851">
          <cell r="B2851" t="str">
            <v>1209-5YY0205-T2EN</v>
          </cell>
          <cell r="C2851" t="str">
            <v>MCS</v>
          </cell>
        </row>
        <row r="2852">
          <cell r="B2852" t="str">
            <v>1209-5YY0223-TKEN</v>
          </cell>
          <cell r="C2852" t="str">
            <v>MCS</v>
          </cell>
        </row>
        <row r="2853">
          <cell r="B2853" t="str">
            <v>1209-5YY0224-TKEN</v>
          </cell>
          <cell r="C2853" t="str">
            <v>MCS</v>
          </cell>
        </row>
        <row r="2854">
          <cell r="B2854" t="str">
            <v>1209-5YY0465-T2EN</v>
          </cell>
          <cell r="C2854" t="str">
            <v>MCS</v>
          </cell>
        </row>
        <row r="2855">
          <cell r="B2855" t="str">
            <v>1209-5YY0465EN</v>
          </cell>
          <cell r="C2855" t="str">
            <v>MCS</v>
          </cell>
        </row>
        <row r="2856">
          <cell r="B2856" t="str">
            <v>1209-5YY0475-T2EN</v>
          </cell>
          <cell r="C2856" t="str">
            <v>MCS</v>
          </cell>
        </row>
        <row r="2857">
          <cell r="B2857" t="str">
            <v>1209-5YY0475EN</v>
          </cell>
          <cell r="C2857" t="str">
            <v>MCS</v>
          </cell>
        </row>
        <row r="2858">
          <cell r="B2858" t="str">
            <v>1209-5YY0476-T2EN</v>
          </cell>
          <cell r="C2858" t="str">
            <v>MCS</v>
          </cell>
        </row>
        <row r="2859">
          <cell r="B2859" t="str">
            <v>1209-5YY0476EN</v>
          </cell>
          <cell r="C2859" t="str">
            <v>MCS</v>
          </cell>
        </row>
        <row r="2860">
          <cell r="B2860" t="str">
            <v>1209-5YY0477-T2EN</v>
          </cell>
          <cell r="C2860" t="str">
            <v>MCS</v>
          </cell>
        </row>
        <row r="2861">
          <cell r="B2861" t="str">
            <v>1209-5YY0477EN</v>
          </cell>
          <cell r="C2861" t="str">
            <v>MCS</v>
          </cell>
        </row>
        <row r="2862">
          <cell r="B2862" t="str">
            <v>1209-5YY0494-T2EN</v>
          </cell>
          <cell r="C2862" t="str">
            <v>MCS</v>
          </cell>
        </row>
        <row r="2863">
          <cell r="B2863" t="str">
            <v>1209-5YY0494EN</v>
          </cell>
          <cell r="C2863" t="str">
            <v>MCS</v>
          </cell>
        </row>
        <row r="2864">
          <cell r="B2864" t="str">
            <v>1209-5YY0495-T2EN</v>
          </cell>
          <cell r="C2864" t="str">
            <v>MCS</v>
          </cell>
        </row>
        <row r="2865">
          <cell r="B2865" t="str">
            <v>1209-5YY0495EN</v>
          </cell>
          <cell r="C2865" t="str">
            <v>MCS</v>
          </cell>
        </row>
        <row r="2866">
          <cell r="B2866" t="str">
            <v>1209-5YY0496-T2EN</v>
          </cell>
          <cell r="C2866" t="str">
            <v>MCS</v>
          </cell>
        </row>
        <row r="2867">
          <cell r="B2867" t="str">
            <v>1209-5YY0496EN</v>
          </cell>
          <cell r="C2867" t="str">
            <v>MCS</v>
          </cell>
        </row>
        <row r="2868">
          <cell r="B2868" t="str">
            <v>1209-5YY0497-T2EN</v>
          </cell>
          <cell r="C2868" t="str">
            <v>MCS</v>
          </cell>
        </row>
        <row r="2869">
          <cell r="B2869" t="str">
            <v>1209-5YY0497EN</v>
          </cell>
          <cell r="C2869" t="str">
            <v>MCS</v>
          </cell>
        </row>
        <row r="2870">
          <cell r="B2870" t="str">
            <v>1209-5YY0498-T2EN</v>
          </cell>
          <cell r="C2870" t="str">
            <v>MCS</v>
          </cell>
        </row>
        <row r="2871">
          <cell r="B2871" t="str">
            <v>1209-5YY0498EN</v>
          </cell>
          <cell r="C2871" t="str">
            <v>MCS</v>
          </cell>
        </row>
        <row r="2872">
          <cell r="B2872" t="str">
            <v>1209-5YY0499-T2EN</v>
          </cell>
          <cell r="C2872" t="str">
            <v>MCS</v>
          </cell>
        </row>
        <row r="2873">
          <cell r="B2873" t="str">
            <v>1209-5YY0499EN</v>
          </cell>
          <cell r="C2873" t="str">
            <v>MCS</v>
          </cell>
        </row>
        <row r="2874">
          <cell r="B2874" t="str">
            <v>1209-5YY0500-T2EN</v>
          </cell>
          <cell r="C2874" t="str">
            <v>MCS</v>
          </cell>
        </row>
        <row r="2875">
          <cell r="B2875" t="str">
            <v>1209-5YY0500EN</v>
          </cell>
          <cell r="C2875" t="str">
            <v>MCS</v>
          </cell>
        </row>
        <row r="2876">
          <cell r="B2876" t="str">
            <v>1251-5YY0062/MX</v>
          </cell>
          <cell r="C2876" t="str">
            <v>MCS</v>
          </cell>
        </row>
        <row r="2877">
          <cell r="B2877" t="str">
            <v>1271-1060194/MX</v>
          </cell>
          <cell r="C2877" t="str">
            <v>MCS</v>
          </cell>
        </row>
        <row r="2878">
          <cell r="B2878" t="str">
            <v>1271-5YY0034/MX</v>
          </cell>
          <cell r="C2878" t="str">
            <v>MCS</v>
          </cell>
        </row>
        <row r="2879">
          <cell r="B2879" t="str">
            <v>1271-5YY0045/MX</v>
          </cell>
          <cell r="C2879" t="str">
            <v>MCS</v>
          </cell>
        </row>
        <row r="2880">
          <cell r="B2880" t="str">
            <v>1271-5YY0046/MX</v>
          </cell>
          <cell r="C2880" t="str">
            <v>MCS</v>
          </cell>
        </row>
        <row r="2881">
          <cell r="B2881" t="str">
            <v>1271-5YY0052/MX</v>
          </cell>
          <cell r="C2881" t="str">
            <v>MCS</v>
          </cell>
        </row>
        <row r="2882">
          <cell r="B2882" t="str">
            <v>1271-5YY0062-21/MX</v>
          </cell>
          <cell r="C2882" t="str">
            <v>MCS</v>
          </cell>
        </row>
        <row r="2883">
          <cell r="B2883" t="str">
            <v>1271-5YY0062/MX</v>
          </cell>
          <cell r="C2883" t="str">
            <v>MCS</v>
          </cell>
        </row>
        <row r="2884">
          <cell r="B2884" t="str">
            <v>1271-5YY0070/MX</v>
          </cell>
          <cell r="C2884" t="str">
            <v>MCS</v>
          </cell>
        </row>
        <row r="2885">
          <cell r="B2885" t="str">
            <v>1271-5YY0097</v>
          </cell>
          <cell r="C2885" t="str">
            <v>MCS</v>
          </cell>
        </row>
        <row r="2886">
          <cell r="B2886" t="str">
            <v>1271-5YY0101</v>
          </cell>
          <cell r="C2886" t="str">
            <v>MCS</v>
          </cell>
        </row>
        <row r="2887">
          <cell r="B2887" t="str">
            <v>1271-5YY0102</v>
          </cell>
          <cell r="C2887" t="str">
            <v>MCS</v>
          </cell>
        </row>
        <row r="2888">
          <cell r="B2888" t="str">
            <v>1272-MYY0005</v>
          </cell>
          <cell r="C2888" t="str">
            <v>MCS</v>
          </cell>
        </row>
        <row r="2889">
          <cell r="B2889" t="str">
            <v>1277-1030087</v>
          </cell>
          <cell r="C2889" t="str">
            <v>MCS</v>
          </cell>
        </row>
        <row r="2890">
          <cell r="B2890" t="str">
            <v>1277-1030089</v>
          </cell>
          <cell r="C2890" t="str">
            <v>MCS</v>
          </cell>
        </row>
        <row r="2891">
          <cell r="B2891" t="str">
            <v>1277-1030120</v>
          </cell>
          <cell r="C2891" t="str">
            <v>MCS</v>
          </cell>
        </row>
        <row r="2892">
          <cell r="B2892" t="str">
            <v>1277-5YY0077/MX</v>
          </cell>
          <cell r="C2892" t="str">
            <v>MCS</v>
          </cell>
        </row>
        <row r="2893">
          <cell r="B2893" t="str">
            <v>1277-5YY0077EN</v>
          </cell>
          <cell r="C2893" t="str">
            <v>MCS</v>
          </cell>
        </row>
        <row r="2894">
          <cell r="B2894" t="str">
            <v>1277-EGP0001/MX</v>
          </cell>
          <cell r="C2894" t="str">
            <v>MCS</v>
          </cell>
        </row>
        <row r="2895">
          <cell r="B2895" t="str">
            <v>1293-5YY0017</v>
          </cell>
          <cell r="C2895" t="str">
            <v>MCS</v>
          </cell>
        </row>
        <row r="2896">
          <cell r="B2896" t="str">
            <v>1293-5YY0019EN</v>
          </cell>
          <cell r="C2896" t="str">
            <v>MCS</v>
          </cell>
        </row>
        <row r="2897">
          <cell r="B2897" t="str">
            <v>1293-5YY0033</v>
          </cell>
          <cell r="C2897" t="str">
            <v>MCS</v>
          </cell>
        </row>
        <row r="2898">
          <cell r="B2898" t="str">
            <v>1293-5YY0069</v>
          </cell>
          <cell r="C2898" t="str">
            <v>MCS</v>
          </cell>
        </row>
        <row r="2899">
          <cell r="B2899" t="str">
            <v>1293-5YY0069EN</v>
          </cell>
          <cell r="C2899" t="str">
            <v>MCS</v>
          </cell>
        </row>
        <row r="2900">
          <cell r="B2900" t="str">
            <v>1301-1010116/MX</v>
          </cell>
          <cell r="C2900" t="str">
            <v>MCS</v>
          </cell>
        </row>
        <row r="2901">
          <cell r="B2901" t="str">
            <v>1301-1010120/MX</v>
          </cell>
          <cell r="C2901" t="str">
            <v>MCS</v>
          </cell>
        </row>
        <row r="2902">
          <cell r="B2902" t="str">
            <v>1301-1020333-93/MX</v>
          </cell>
          <cell r="C2902" t="str">
            <v>MCS</v>
          </cell>
        </row>
        <row r="2903">
          <cell r="B2903" t="str">
            <v>1301-1060621-93/MX</v>
          </cell>
          <cell r="C2903" t="str">
            <v>MCS</v>
          </cell>
        </row>
        <row r="2904">
          <cell r="B2904" t="str">
            <v>1301-1E90119</v>
          </cell>
          <cell r="C2904" t="str">
            <v>MCS</v>
          </cell>
        </row>
        <row r="2905">
          <cell r="B2905" t="str">
            <v>1301-5YY0239-YCEN</v>
          </cell>
          <cell r="C2905" t="str">
            <v>MCS</v>
          </cell>
        </row>
        <row r="2906">
          <cell r="B2906" t="str">
            <v>1301-5YY0242-YCEN</v>
          </cell>
          <cell r="C2906" t="str">
            <v>MCS</v>
          </cell>
        </row>
        <row r="2907">
          <cell r="B2907" t="str">
            <v>1301-5YY0251-93/MX</v>
          </cell>
          <cell r="C2907" t="str">
            <v>MCS</v>
          </cell>
        </row>
        <row r="2908">
          <cell r="B2908" t="str">
            <v>1301-5YY0258/MX</v>
          </cell>
          <cell r="C2908" t="str">
            <v>MCS</v>
          </cell>
        </row>
        <row r="2909">
          <cell r="B2909" t="str">
            <v>1301-5YY0269/MX</v>
          </cell>
          <cell r="C2909" t="str">
            <v>MCS</v>
          </cell>
        </row>
        <row r="2910">
          <cell r="B2910" t="str">
            <v>1301-EGN0004/MX</v>
          </cell>
          <cell r="C2910" t="str">
            <v>MCS</v>
          </cell>
        </row>
        <row r="2911">
          <cell r="B2911" t="str">
            <v>1301-EGP0001/MX</v>
          </cell>
          <cell r="C2911" t="str">
            <v>MCS</v>
          </cell>
        </row>
        <row r="2912">
          <cell r="B2912" t="str">
            <v>1301-EJB0020</v>
          </cell>
          <cell r="C2912" t="str">
            <v>MCS</v>
          </cell>
        </row>
        <row r="2913">
          <cell r="B2913" t="str">
            <v>1301-EJB0022</v>
          </cell>
          <cell r="C2913" t="str">
            <v>MCS</v>
          </cell>
        </row>
        <row r="2914">
          <cell r="B2914" t="str">
            <v>1301-EJB0023</v>
          </cell>
          <cell r="C2914" t="str">
            <v>MCS</v>
          </cell>
        </row>
        <row r="2915">
          <cell r="B2915" t="str">
            <v>1301-EJB0026</v>
          </cell>
          <cell r="C2915" t="str">
            <v>MCS</v>
          </cell>
        </row>
        <row r="2916">
          <cell r="B2916" t="str">
            <v>1301-EQH0005</v>
          </cell>
          <cell r="C2916" t="str">
            <v>MCS</v>
          </cell>
        </row>
        <row r="2917">
          <cell r="B2917" t="str">
            <v>1301-EQH0006</v>
          </cell>
          <cell r="C2917" t="str">
            <v>MCS</v>
          </cell>
        </row>
        <row r="2918">
          <cell r="B2918" t="str">
            <v>1301-M030001-93/MX</v>
          </cell>
          <cell r="C2918" t="str">
            <v>MCS</v>
          </cell>
        </row>
        <row r="2919">
          <cell r="B2919" t="str">
            <v>1301-MYY0001/MX</v>
          </cell>
          <cell r="C2919" t="str">
            <v>MCS</v>
          </cell>
        </row>
        <row r="2920">
          <cell r="B2920" t="str">
            <v>1301-MYY0002/MX</v>
          </cell>
          <cell r="C2920" t="str">
            <v>MCS</v>
          </cell>
        </row>
        <row r="2921">
          <cell r="B2921" t="str">
            <v>1301-MYY0021/MX</v>
          </cell>
          <cell r="C2921" t="str">
            <v>MCS</v>
          </cell>
        </row>
        <row r="2922">
          <cell r="B2922" t="str">
            <v>1301-MYY0022/MX</v>
          </cell>
          <cell r="C2922" t="str">
            <v>MCS</v>
          </cell>
        </row>
        <row r="2923">
          <cell r="B2923" t="str">
            <v>1301-MYY0023/MX</v>
          </cell>
          <cell r="C2923" t="str">
            <v>MCS</v>
          </cell>
        </row>
        <row r="2924">
          <cell r="B2924" t="str">
            <v>1301-MYY0024/MX</v>
          </cell>
          <cell r="C2924" t="str">
            <v>MCS</v>
          </cell>
        </row>
        <row r="2925">
          <cell r="B2925" t="str">
            <v>1301-MYY0025</v>
          </cell>
          <cell r="C2925" t="str">
            <v>MCS</v>
          </cell>
        </row>
        <row r="2926">
          <cell r="B2926" t="str">
            <v>1301-MYY0026</v>
          </cell>
          <cell r="C2926" t="str">
            <v>MCS</v>
          </cell>
        </row>
        <row r="2927">
          <cell r="B2927" t="str">
            <v>1301-MYY0027/MX</v>
          </cell>
          <cell r="C2927" t="str">
            <v>MCS</v>
          </cell>
        </row>
        <row r="2928">
          <cell r="B2928" t="str">
            <v>1301-MYY0028/MX</v>
          </cell>
          <cell r="C2928" t="str">
            <v>MCS</v>
          </cell>
        </row>
        <row r="2929">
          <cell r="B2929" t="str">
            <v>1301-MYY0030/MX</v>
          </cell>
          <cell r="C2929" t="str">
            <v>MCS</v>
          </cell>
        </row>
        <row r="2930">
          <cell r="B2930" t="str">
            <v>1301-MYY0031/MX</v>
          </cell>
          <cell r="C2930" t="str">
            <v>MCS</v>
          </cell>
        </row>
        <row r="2931">
          <cell r="B2931" t="str">
            <v>1301-MYY0032/MX</v>
          </cell>
          <cell r="C2931" t="str">
            <v>MCS</v>
          </cell>
        </row>
        <row r="2932">
          <cell r="B2932" t="str">
            <v>1301-MYY0033/MX</v>
          </cell>
          <cell r="C2932" t="str">
            <v>MCS</v>
          </cell>
        </row>
        <row r="2933">
          <cell r="B2933" t="str">
            <v>1302-EGN0003/MX</v>
          </cell>
          <cell r="C2933" t="str">
            <v>MCS</v>
          </cell>
        </row>
        <row r="2934">
          <cell r="B2934" t="str">
            <v>1302-EGN0004/MX</v>
          </cell>
          <cell r="C2934" t="str">
            <v>MCS</v>
          </cell>
        </row>
        <row r="2935">
          <cell r="B2935" t="str">
            <v>1302-EGN0007/MX</v>
          </cell>
          <cell r="C2935" t="str">
            <v>MCS</v>
          </cell>
        </row>
        <row r="2936">
          <cell r="B2936" t="str">
            <v>1302-EGN0008/MX</v>
          </cell>
          <cell r="C2936" t="str">
            <v>MCS</v>
          </cell>
        </row>
        <row r="2937">
          <cell r="B2937" t="str">
            <v>1307-1120136EN</v>
          </cell>
          <cell r="C2937" t="str">
            <v>MCS</v>
          </cell>
        </row>
        <row r="2938">
          <cell r="B2938" t="str">
            <v>1307-1E90100EN</v>
          </cell>
          <cell r="C2938" t="str">
            <v>MCS</v>
          </cell>
        </row>
        <row r="2939">
          <cell r="B2939" t="str">
            <v>1321-1E90009</v>
          </cell>
          <cell r="C2939" t="str">
            <v>MCS</v>
          </cell>
        </row>
        <row r="2940">
          <cell r="B2940" t="str">
            <v>1321-1E90028</v>
          </cell>
          <cell r="C2940" t="str">
            <v>MCS</v>
          </cell>
        </row>
        <row r="2941">
          <cell r="B2941" t="str">
            <v>1321-5YY0028-T2EN</v>
          </cell>
          <cell r="C2941" t="str">
            <v>MCS</v>
          </cell>
        </row>
        <row r="2942">
          <cell r="B2942" t="str">
            <v>1321-5YY0031-T2</v>
          </cell>
          <cell r="C2942" t="str">
            <v>MCS</v>
          </cell>
        </row>
        <row r="2943">
          <cell r="B2943" t="str">
            <v>1321-5YY0031-T2AN</v>
          </cell>
          <cell r="C2943" t="str">
            <v>MCS</v>
          </cell>
        </row>
        <row r="2944">
          <cell r="B2944" t="str">
            <v>1321-5YY0031-T2EN</v>
          </cell>
          <cell r="C2944" t="str">
            <v>MCS</v>
          </cell>
        </row>
        <row r="2945">
          <cell r="B2945" t="str">
            <v>1322-5YY0017/MX</v>
          </cell>
          <cell r="C2945" t="str">
            <v>MCS</v>
          </cell>
        </row>
        <row r="2946">
          <cell r="B2946" t="str">
            <v>1322-5YY0020</v>
          </cell>
          <cell r="C2946" t="str">
            <v>MCS</v>
          </cell>
        </row>
        <row r="2947">
          <cell r="B2947" t="str">
            <v>1322-5YY0021</v>
          </cell>
          <cell r="C2947" t="str">
            <v>MCS</v>
          </cell>
        </row>
        <row r="2948">
          <cell r="B2948" t="str">
            <v>1324-5YY0172/MX</v>
          </cell>
          <cell r="C2948" t="str">
            <v>MCS</v>
          </cell>
        </row>
        <row r="2949">
          <cell r="B2949" t="str">
            <v>1324-5YY0175/MX</v>
          </cell>
          <cell r="C2949" t="str">
            <v>MCS</v>
          </cell>
        </row>
        <row r="2950">
          <cell r="B2950" t="str">
            <v>1324-5YY0179/MX</v>
          </cell>
          <cell r="C2950" t="str">
            <v>MCS</v>
          </cell>
        </row>
        <row r="2951">
          <cell r="B2951" t="str">
            <v>1326-5YY0034EN</v>
          </cell>
          <cell r="C2951" t="str">
            <v>MCS</v>
          </cell>
        </row>
        <row r="2952">
          <cell r="B2952" t="str">
            <v>1326-5YY0035EN</v>
          </cell>
          <cell r="C2952" t="str">
            <v>MCS</v>
          </cell>
        </row>
        <row r="2953">
          <cell r="B2953" t="str">
            <v>1326-5YY0036EN</v>
          </cell>
          <cell r="C2953" t="str">
            <v>MCS</v>
          </cell>
        </row>
        <row r="2954">
          <cell r="B2954" t="str">
            <v>1326-5YY0037EN</v>
          </cell>
          <cell r="C2954" t="str">
            <v>MCS</v>
          </cell>
        </row>
        <row r="2955">
          <cell r="B2955" t="str">
            <v>1326-5YY0038EN</v>
          </cell>
          <cell r="C2955" t="str">
            <v>MCS</v>
          </cell>
        </row>
        <row r="2956">
          <cell r="B2956" t="str">
            <v>1326-5YY0039EN</v>
          </cell>
          <cell r="C2956" t="str">
            <v>MCS</v>
          </cell>
        </row>
        <row r="2957">
          <cell r="B2957" t="str">
            <v>1337-5YY0152/MX</v>
          </cell>
          <cell r="C2957" t="str">
            <v>MCS</v>
          </cell>
        </row>
        <row r="2958">
          <cell r="B2958" t="str">
            <v>1337-5YY0162/MX</v>
          </cell>
          <cell r="C2958" t="str">
            <v>MCS</v>
          </cell>
        </row>
        <row r="2959">
          <cell r="B2959" t="str">
            <v>1339-10C0024</v>
          </cell>
          <cell r="C2959" t="str">
            <v>MCS</v>
          </cell>
        </row>
        <row r="2960">
          <cell r="B2960" t="str">
            <v>1339-10C0025</v>
          </cell>
          <cell r="C2960" t="str">
            <v>MCS</v>
          </cell>
        </row>
        <row r="2961">
          <cell r="B2961" t="str">
            <v>1339-10C0026</v>
          </cell>
          <cell r="C2961" t="str">
            <v>MCS</v>
          </cell>
        </row>
        <row r="2962">
          <cell r="B2962" t="str">
            <v>1339-1120048</v>
          </cell>
          <cell r="C2962" t="str">
            <v>MCS</v>
          </cell>
        </row>
        <row r="2963">
          <cell r="B2963" t="str">
            <v>1339-1E90088</v>
          </cell>
          <cell r="C2963" t="str">
            <v>MCS</v>
          </cell>
        </row>
        <row r="2964">
          <cell r="B2964" t="str">
            <v>1346-10C0077</v>
          </cell>
          <cell r="C2964" t="str">
            <v>MCS</v>
          </cell>
        </row>
        <row r="2965">
          <cell r="B2965" t="str">
            <v>1346-10C0078</v>
          </cell>
          <cell r="C2965" t="str">
            <v>MCS</v>
          </cell>
        </row>
        <row r="2966">
          <cell r="B2966" t="str">
            <v>1346-10C0079</v>
          </cell>
          <cell r="C2966" t="str">
            <v>MCS</v>
          </cell>
        </row>
        <row r="2967">
          <cell r="B2967" t="str">
            <v>1346-1120068</v>
          </cell>
          <cell r="C2967" t="str">
            <v>MCS</v>
          </cell>
        </row>
        <row r="2968">
          <cell r="B2968" t="str">
            <v>1346-1120069</v>
          </cell>
          <cell r="C2968" t="str">
            <v>MCS</v>
          </cell>
        </row>
        <row r="2969">
          <cell r="B2969" t="str">
            <v>1346-1E90112</v>
          </cell>
          <cell r="C2969" t="str">
            <v>MCS</v>
          </cell>
        </row>
        <row r="2970">
          <cell r="B2970" t="str">
            <v>1346-1E90113</v>
          </cell>
          <cell r="C2970" t="str">
            <v>MCS</v>
          </cell>
        </row>
        <row r="2971">
          <cell r="B2971" t="str">
            <v>1346-1E90202</v>
          </cell>
          <cell r="C2971" t="str">
            <v>MCS</v>
          </cell>
        </row>
        <row r="2972">
          <cell r="B2972" t="str">
            <v>1346-1E90203</v>
          </cell>
          <cell r="C2972" t="str">
            <v>MCS</v>
          </cell>
        </row>
        <row r="2973">
          <cell r="B2973" t="str">
            <v>1346-EGP0003/MX</v>
          </cell>
          <cell r="C2973" t="str">
            <v>MCS</v>
          </cell>
        </row>
        <row r="2974">
          <cell r="B2974" t="str">
            <v>1346-EGP0004/MX</v>
          </cell>
          <cell r="C2974" t="str">
            <v>MCS</v>
          </cell>
        </row>
        <row r="2975">
          <cell r="B2975" t="str">
            <v>1346-MYY0004/MX</v>
          </cell>
          <cell r="C2975" t="str">
            <v>MCS</v>
          </cell>
        </row>
        <row r="2976">
          <cell r="B2976" t="str">
            <v>1346-MYY0005/MX</v>
          </cell>
          <cell r="C2976" t="str">
            <v>MCS</v>
          </cell>
        </row>
        <row r="2977">
          <cell r="B2977" t="str">
            <v>1414-1YY0088</v>
          </cell>
          <cell r="C2977" t="str">
            <v>MCS</v>
          </cell>
        </row>
        <row r="2978">
          <cell r="B2978" t="str">
            <v>1414-M020001</v>
          </cell>
          <cell r="C2978" t="str">
            <v>MCS</v>
          </cell>
        </row>
        <row r="2979">
          <cell r="B2979" t="str">
            <v>1415-EGN0005/MX</v>
          </cell>
          <cell r="C2979" t="str">
            <v>MCS</v>
          </cell>
        </row>
        <row r="2980">
          <cell r="B2980" t="str">
            <v>1415-EGN0006/MX</v>
          </cell>
          <cell r="C2980" t="str">
            <v>MCS</v>
          </cell>
        </row>
        <row r="2981">
          <cell r="B2981" t="str">
            <v>1415-EGN0016/MX</v>
          </cell>
          <cell r="C2981" t="str">
            <v>MCS</v>
          </cell>
        </row>
        <row r="2982">
          <cell r="B2982" t="str">
            <v>1415-EGN0019/MX</v>
          </cell>
          <cell r="C2982" t="str">
            <v>MCS</v>
          </cell>
        </row>
        <row r="2983">
          <cell r="B2983" t="str">
            <v>1415-EGP0002/MX</v>
          </cell>
          <cell r="C2983" t="str">
            <v>MCS</v>
          </cell>
        </row>
        <row r="2984">
          <cell r="B2984" t="str">
            <v>1415-EHL0007</v>
          </cell>
          <cell r="C2984" t="str">
            <v>MCS</v>
          </cell>
        </row>
        <row r="2985">
          <cell r="B2985" t="str">
            <v>1415-EQG0001</v>
          </cell>
          <cell r="C2985" t="str">
            <v>MCS</v>
          </cell>
        </row>
        <row r="2986">
          <cell r="B2986" t="str">
            <v>1415-EQH0001</v>
          </cell>
          <cell r="C2986" t="str">
            <v>MCS</v>
          </cell>
        </row>
        <row r="2987">
          <cell r="B2987" t="str">
            <v>1415-EQH0002</v>
          </cell>
          <cell r="C2987" t="str">
            <v>MCS</v>
          </cell>
        </row>
        <row r="2988">
          <cell r="B2988" t="str">
            <v>1415-EQH0003</v>
          </cell>
          <cell r="C2988" t="str">
            <v>MCS</v>
          </cell>
        </row>
        <row r="2989">
          <cell r="B2989" t="str">
            <v>1415-EQH0004</v>
          </cell>
          <cell r="C2989" t="str">
            <v>MCS</v>
          </cell>
        </row>
        <row r="2990">
          <cell r="B2990" t="str">
            <v>1415-EQH0006</v>
          </cell>
          <cell r="C2990" t="str">
            <v>MCS</v>
          </cell>
        </row>
        <row r="2991">
          <cell r="B2991" t="str">
            <v>1415-EQH0007</v>
          </cell>
          <cell r="C2991" t="str">
            <v>MCS</v>
          </cell>
        </row>
        <row r="2992">
          <cell r="B2992" t="str">
            <v>1415-EQH0008</v>
          </cell>
          <cell r="C2992" t="str">
            <v>MCS</v>
          </cell>
        </row>
        <row r="2993">
          <cell r="B2993" t="str">
            <v>1415-EQH0009</v>
          </cell>
          <cell r="C2993" t="str">
            <v>MCS</v>
          </cell>
        </row>
        <row r="2994">
          <cell r="B2994" t="str">
            <v>1415-EQH0010</v>
          </cell>
          <cell r="C2994" t="str">
            <v>MCS</v>
          </cell>
        </row>
        <row r="2995">
          <cell r="B2995" t="str">
            <v>1415-MYY0064/MX</v>
          </cell>
          <cell r="C2995" t="str">
            <v>MCS</v>
          </cell>
        </row>
        <row r="2996">
          <cell r="B2996" t="str">
            <v>1415-MYY0065/MX</v>
          </cell>
          <cell r="C2996" t="str">
            <v>MCS</v>
          </cell>
        </row>
        <row r="2997">
          <cell r="B2997" t="str">
            <v>1415-MYY0067/MX</v>
          </cell>
          <cell r="C2997" t="str">
            <v>MCS</v>
          </cell>
        </row>
        <row r="2998">
          <cell r="B2998" t="str">
            <v>1415-MYY0068/MX</v>
          </cell>
          <cell r="C2998" t="str">
            <v>MCS</v>
          </cell>
        </row>
        <row r="2999">
          <cell r="B2999" t="str">
            <v>1415-MYY0069/MX</v>
          </cell>
          <cell r="C2999" t="str">
            <v>MCS</v>
          </cell>
        </row>
        <row r="3000">
          <cell r="B3000" t="str">
            <v>1420-3120019</v>
          </cell>
          <cell r="C3000" t="str">
            <v>MCS</v>
          </cell>
        </row>
        <row r="3001">
          <cell r="B3001" t="str">
            <v>1420-5YY0034/MX</v>
          </cell>
          <cell r="C3001" t="str">
            <v>MCS</v>
          </cell>
        </row>
        <row r="3002">
          <cell r="B3002" t="str">
            <v>1420-EQH0001</v>
          </cell>
          <cell r="C3002" t="str">
            <v>MCS</v>
          </cell>
        </row>
        <row r="3003">
          <cell r="B3003" t="str">
            <v>1426-3030001</v>
          </cell>
          <cell r="C3003" t="str">
            <v>MCS</v>
          </cell>
        </row>
        <row r="3004">
          <cell r="B3004" t="str">
            <v>1426-3030002</v>
          </cell>
          <cell r="C3004" t="str">
            <v>MCS</v>
          </cell>
        </row>
        <row r="3005">
          <cell r="B3005" t="str">
            <v>1426-EJB0051</v>
          </cell>
          <cell r="C3005" t="str">
            <v>MCS</v>
          </cell>
        </row>
        <row r="3006">
          <cell r="B3006" t="str">
            <v>1426-EJB0054</v>
          </cell>
          <cell r="C3006" t="str">
            <v>MCS</v>
          </cell>
        </row>
        <row r="3007">
          <cell r="B3007" t="str">
            <v>1429-5YY0322/MX</v>
          </cell>
          <cell r="C3007" t="str">
            <v>MCS</v>
          </cell>
        </row>
        <row r="3008">
          <cell r="B3008" t="str">
            <v>1429-5YY0358/MX</v>
          </cell>
          <cell r="C3008" t="str">
            <v>MCS</v>
          </cell>
        </row>
        <row r="3009">
          <cell r="B3009" t="str">
            <v>1429-5YY0359/MX</v>
          </cell>
          <cell r="C3009" t="str">
            <v>MCS</v>
          </cell>
        </row>
        <row r="3010">
          <cell r="B3010" t="str">
            <v>1429-5YY0459/MX</v>
          </cell>
          <cell r="C3010" t="str">
            <v>MCS</v>
          </cell>
        </row>
        <row r="3011">
          <cell r="B3011" t="str">
            <v>1429-5YY0472/MX</v>
          </cell>
          <cell r="C3011" t="str">
            <v>MCS</v>
          </cell>
        </row>
        <row r="3012">
          <cell r="B3012" t="str">
            <v>1429-5YY0473/MX</v>
          </cell>
          <cell r="C3012" t="str">
            <v>MCS</v>
          </cell>
        </row>
        <row r="3013">
          <cell r="B3013" t="str">
            <v>1429-5YY0560/MX</v>
          </cell>
          <cell r="C3013" t="str">
            <v>MCS</v>
          </cell>
        </row>
        <row r="3014">
          <cell r="B3014" t="str">
            <v>1429-5YY0628/MX</v>
          </cell>
          <cell r="C3014" t="str">
            <v>MCS</v>
          </cell>
        </row>
        <row r="3015">
          <cell r="B3015" t="str">
            <v>1429-5YY0642</v>
          </cell>
          <cell r="C3015" t="str">
            <v>MCS</v>
          </cell>
        </row>
        <row r="3016">
          <cell r="B3016" t="str">
            <v>1429-5YY0649</v>
          </cell>
          <cell r="C3016" t="str">
            <v>MCS</v>
          </cell>
        </row>
        <row r="3017">
          <cell r="B3017" t="str">
            <v>1429-5YY0673</v>
          </cell>
          <cell r="C3017" t="str">
            <v>MCS</v>
          </cell>
        </row>
        <row r="3018">
          <cell r="B3018" t="str">
            <v>1429-5YY0688</v>
          </cell>
          <cell r="C3018" t="str">
            <v>MCS</v>
          </cell>
        </row>
        <row r="3019">
          <cell r="B3019" t="str">
            <v>1429-5YY0729</v>
          </cell>
          <cell r="C3019" t="str">
            <v>MCS</v>
          </cell>
        </row>
        <row r="3020">
          <cell r="B3020" t="str">
            <v>1429-5YY0740</v>
          </cell>
          <cell r="C3020" t="str">
            <v>MCS</v>
          </cell>
        </row>
        <row r="3021">
          <cell r="B3021" t="str">
            <v>1429-5YY0794</v>
          </cell>
          <cell r="C3021" t="str">
            <v>MCS</v>
          </cell>
        </row>
        <row r="3022">
          <cell r="B3022" t="str">
            <v>1438-5YY0213</v>
          </cell>
          <cell r="C3022" t="str">
            <v>MCS</v>
          </cell>
        </row>
        <row r="3023">
          <cell r="B3023" t="str">
            <v>1438-5YY0216</v>
          </cell>
          <cell r="C3023" t="str">
            <v>MCS</v>
          </cell>
        </row>
        <row r="3024">
          <cell r="B3024" t="str">
            <v>1438-5YY0266</v>
          </cell>
          <cell r="C3024" t="str">
            <v>MCS</v>
          </cell>
        </row>
        <row r="3025">
          <cell r="B3025" t="str">
            <v>1444-3120002</v>
          </cell>
          <cell r="C3025" t="str">
            <v>MCS</v>
          </cell>
        </row>
        <row r="3026">
          <cell r="B3026" t="str">
            <v>1455-EQN0001</v>
          </cell>
          <cell r="C3026" t="str">
            <v>MCS</v>
          </cell>
        </row>
        <row r="3027">
          <cell r="B3027" t="str">
            <v>1458-1030112</v>
          </cell>
          <cell r="C3027" t="str">
            <v>MCS</v>
          </cell>
        </row>
        <row r="3028">
          <cell r="B3028" t="str">
            <v>1458-1030113</v>
          </cell>
          <cell r="C3028" t="str">
            <v>MCS</v>
          </cell>
        </row>
        <row r="3029">
          <cell r="B3029" t="str">
            <v>1458-1030114</v>
          </cell>
          <cell r="C3029" t="str">
            <v>MCS</v>
          </cell>
        </row>
        <row r="3030">
          <cell r="B3030" t="str">
            <v>1458-1030117</v>
          </cell>
          <cell r="C3030" t="str">
            <v>MCS</v>
          </cell>
        </row>
        <row r="3031">
          <cell r="B3031" t="str">
            <v>1458-1120025</v>
          </cell>
          <cell r="C3031" t="str">
            <v>MCS</v>
          </cell>
        </row>
        <row r="3032">
          <cell r="B3032" t="str">
            <v>1458-1120062</v>
          </cell>
          <cell r="C3032" t="str">
            <v>MCS</v>
          </cell>
        </row>
        <row r="3033">
          <cell r="B3033" t="str">
            <v>1458-1120070</v>
          </cell>
          <cell r="C3033" t="str">
            <v>MCS</v>
          </cell>
        </row>
        <row r="3034">
          <cell r="B3034" t="str">
            <v>1458-1E90032</v>
          </cell>
          <cell r="C3034" t="str">
            <v>MCS</v>
          </cell>
        </row>
        <row r="3035">
          <cell r="B3035" t="str">
            <v>1458-1E90053</v>
          </cell>
          <cell r="C3035" t="str">
            <v>MCS</v>
          </cell>
        </row>
        <row r="3036">
          <cell r="B3036" t="str">
            <v>1458-1E90104</v>
          </cell>
          <cell r="C3036" t="str">
            <v>MCS</v>
          </cell>
        </row>
        <row r="3037">
          <cell r="B3037" t="str">
            <v>1459-1010012/MX</v>
          </cell>
          <cell r="C3037" t="str">
            <v>MCS</v>
          </cell>
        </row>
        <row r="3038">
          <cell r="B3038" t="str">
            <v>1459-1010013/MX</v>
          </cell>
          <cell r="C3038" t="str">
            <v>MCS</v>
          </cell>
        </row>
        <row r="3039">
          <cell r="B3039" t="str">
            <v>1459-1E90043</v>
          </cell>
          <cell r="C3039" t="str">
            <v>MCS</v>
          </cell>
        </row>
        <row r="3040">
          <cell r="B3040" t="str">
            <v>1459-5YY0128/MX</v>
          </cell>
          <cell r="C3040" t="str">
            <v>MCS</v>
          </cell>
        </row>
        <row r="3041">
          <cell r="B3041" t="str">
            <v>1459-5YY0150/MX</v>
          </cell>
          <cell r="C3041" t="str">
            <v>MCS</v>
          </cell>
        </row>
        <row r="3042">
          <cell r="B3042" t="str">
            <v>1459-5YY0151/MX</v>
          </cell>
          <cell r="C3042" t="str">
            <v>MCS</v>
          </cell>
        </row>
        <row r="3043">
          <cell r="B3043" t="str">
            <v>1459-5YY0160</v>
          </cell>
          <cell r="C3043" t="str">
            <v>MCS</v>
          </cell>
        </row>
        <row r="3044">
          <cell r="B3044" t="str">
            <v>1459-5YY0160EN</v>
          </cell>
          <cell r="C3044" t="str">
            <v>MCS</v>
          </cell>
        </row>
        <row r="3045">
          <cell r="B3045" t="str">
            <v>1459-5YY0161</v>
          </cell>
          <cell r="C3045" t="str">
            <v>MCS</v>
          </cell>
        </row>
        <row r="3046">
          <cell r="B3046" t="str">
            <v>1459-5YY0161EN</v>
          </cell>
          <cell r="C3046" t="str">
            <v>MCS</v>
          </cell>
        </row>
        <row r="3047">
          <cell r="B3047" t="str">
            <v>1459-5YY0166/MX</v>
          </cell>
          <cell r="C3047" t="str">
            <v>MCS</v>
          </cell>
        </row>
        <row r="3048">
          <cell r="B3048" t="str">
            <v>1459-5YY0166EN</v>
          </cell>
          <cell r="C3048" t="str">
            <v>MCS</v>
          </cell>
        </row>
        <row r="3049">
          <cell r="B3049" t="str">
            <v>1459-5YY0168/MX</v>
          </cell>
          <cell r="C3049" t="str">
            <v>MCS</v>
          </cell>
        </row>
        <row r="3050">
          <cell r="B3050" t="str">
            <v>1459-5YY0168EN</v>
          </cell>
          <cell r="C3050" t="str">
            <v>MCS</v>
          </cell>
        </row>
        <row r="3051">
          <cell r="B3051" t="str">
            <v>1459-5YY0225</v>
          </cell>
          <cell r="C3051" t="str">
            <v>MCS</v>
          </cell>
        </row>
        <row r="3052">
          <cell r="B3052" t="str">
            <v>1459-5YY0226</v>
          </cell>
          <cell r="C3052" t="str">
            <v>MCS</v>
          </cell>
        </row>
        <row r="3053">
          <cell r="B3053" t="str">
            <v>1459-5YY0228</v>
          </cell>
          <cell r="C3053" t="str">
            <v>MCS</v>
          </cell>
        </row>
        <row r="3054">
          <cell r="B3054" t="str">
            <v>1459-EGN0003/MX</v>
          </cell>
          <cell r="C3054" t="str">
            <v>MCS</v>
          </cell>
        </row>
        <row r="3055">
          <cell r="B3055" t="str">
            <v>1459-EGP0001/MX</v>
          </cell>
          <cell r="C3055" t="str">
            <v>MCS</v>
          </cell>
        </row>
        <row r="3056">
          <cell r="B3056" t="str">
            <v>1459-EJB0007</v>
          </cell>
          <cell r="C3056" t="str">
            <v>MCS</v>
          </cell>
        </row>
        <row r="3057">
          <cell r="B3057" t="str">
            <v>1459-EQH0003</v>
          </cell>
          <cell r="C3057" t="str">
            <v>MCS</v>
          </cell>
        </row>
        <row r="3058">
          <cell r="B3058" t="str">
            <v>1459-EQH0004</v>
          </cell>
          <cell r="C3058" t="str">
            <v>MCS</v>
          </cell>
        </row>
        <row r="3059">
          <cell r="B3059" t="str">
            <v>1459-EQH0005</v>
          </cell>
          <cell r="C3059" t="str">
            <v>MCS</v>
          </cell>
        </row>
        <row r="3060">
          <cell r="B3060" t="str">
            <v>1473-EQN0001</v>
          </cell>
          <cell r="C3060" t="str">
            <v>MCS</v>
          </cell>
        </row>
        <row r="3061">
          <cell r="B3061" t="str">
            <v>1474-1030002</v>
          </cell>
          <cell r="C3061" t="str">
            <v>MCS</v>
          </cell>
        </row>
        <row r="3062">
          <cell r="B3062" t="str">
            <v>1484-1030009</v>
          </cell>
          <cell r="C3062" t="str">
            <v>MCS</v>
          </cell>
        </row>
        <row r="3063">
          <cell r="B3063" t="str">
            <v>1484-1030014</v>
          </cell>
          <cell r="C3063" t="str">
            <v>MCS</v>
          </cell>
        </row>
        <row r="3064">
          <cell r="B3064" t="str">
            <v>1484-1120028EN</v>
          </cell>
          <cell r="C3064" t="str">
            <v>MCS</v>
          </cell>
        </row>
        <row r="3065">
          <cell r="B3065" t="str">
            <v>1484-1120030</v>
          </cell>
          <cell r="C3065" t="str">
            <v>MCS</v>
          </cell>
        </row>
        <row r="3066">
          <cell r="B3066" t="str">
            <v>1484-1120049</v>
          </cell>
          <cell r="C3066" t="str">
            <v>MCS</v>
          </cell>
        </row>
        <row r="3067">
          <cell r="B3067" t="str">
            <v>1484-1120050</v>
          </cell>
          <cell r="C3067" t="str">
            <v>MCS</v>
          </cell>
        </row>
        <row r="3068">
          <cell r="B3068" t="str">
            <v>1484-1120098</v>
          </cell>
          <cell r="C3068" t="str">
            <v>MCS</v>
          </cell>
        </row>
        <row r="3069">
          <cell r="B3069" t="str">
            <v>1484-1E90029</v>
          </cell>
          <cell r="C3069" t="str">
            <v>MCS</v>
          </cell>
        </row>
        <row r="3070">
          <cell r="B3070" t="str">
            <v>1484-1E90030</v>
          </cell>
          <cell r="C3070" t="str">
            <v>MCS</v>
          </cell>
        </row>
        <row r="3071">
          <cell r="B3071" t="str">
            <v>1488-MGA0002/MX</v>
          </cell>
          <cell r="C3071" t="str">
            <v>MCS</v>
          </cell>
        </row>
        <row r="3072">
          <cell r="B3072" t="str">
            <v>1500-1YY1193</v>
          </cell>
          <cell r="C3072" t="str">
            <v>MCS</v>
          </cell>
        </row>
        <row r="3073">
          <cell r="B3073" t="str">
            <v>1500-1YY1194</v>
          </cell>
          <cell r="C3073" t="str">
            <v>MCS</v>
          </cell>
        </row>
        <row r="3074">
          <cell r="B3074" t="str">
            <v>1500-1YY1195</v>
          </cell>
          <cell r="C3074" t="str">
            <v>MCS</v>
          </cell>
        </row>
        <row r="3075">
          <cell r="B3075" t="str">
            <v>1500-1YY1273</v>
          </cell>
          <cell r="C3075" t="str">
            <v>MCS</v>
          </cell>
        </row>
        <row r="3076">
          <cell r="B3076" t="str">
            <v>1500-1YY1319</v>
          </cell>
          <cell r="C3076" t="str">
            <v>MCS</v>
          </cell>
        </row>
        <row r="3077">
          <cell r="B3077" t="str">
            <v>1504-1YY0513</v>
          </cell>
          <cell r="C3077" t="str">
            <v>MCS</v>
          </cell>
        </row>
        <row r="3078">
          <cell r="B3078" t="str">
            <v>1533-1070003</v>
          </cell>
          <cell r="C3078" t="str">
            <v>MCS</v>
          </cell>
        </row>
        <row r="3079">
          <cell r="B3079" t="str">
            <v>1533-1YY0017</v>
          </cell>
          <cell r="C3079" t="str">
            <v>MCS</v>
          </cell>
        </row>
        <row r="3080">
          <cell r="B3080" t="str">
            <v>1539-1YY0030</v>
          </cell>
          <cell r="C3080" t="str">
            <v>MCS</v>
          </cell>
        </row>
        <row r="3081">
          <cell r="B3081" t="str">
            <v>1560-MYY0003</v>
          </cell>
          <cell r="C3081" t="str">
            <v>MCS</v>
          </cell>
        </row>
        <row r="3082">
          <cell r="B3082" t="str">
            <v>1602-1YY0001-MT</v>
          </cell>
          <cell r="C3082" t="str">
            <v>MCS</v>
          </cell>
        </row>
        <row r="3083">
          <cell r="B3083" t="str">
            <v>1605-1YY0017-MT</v>
          </cell>
          <cell r="C3083" t="str">
            <v>MCS</v>
          </cell>
        </row>
        <row r="3084">
          <cell r="B3084" t="str">
            <v>1605-1YY0018-MT</v>
          </cell>
          <cell r="C3084" t="str">
            <v>MCS</v>
          </cell>
        </row>
        <row r="3085">
          <cell r="B3085" t="str">
            <v>1605-1YY0019-MT</v>
          </cell>
          <cell r="C3085" t="str">
            <v>MCS</v>
          </cell>
        </row>
        <row r="3086">
          <cell r="B3086" t="str">
            <v>1605-1YY0020-MT</v>
          </cell>
          <cell r="C3086" t="str">
            <v>MCS</v>
          </cell>
        </row>
        <row r="3087">
          <cell r="B3087" t="str">
            <v>1605-1YY0048-MT</v>
          </cell>
          <cell r="C3087" t="str">
            <v>MCS</v>
          </cell>
        </row>
        <row r="3088">
          <cell r="B3088" t="str">
            <v>1606-5YY5012</v>
          </cell>
          <cell r="C3088" t="str">
            <v>MCS</v>
          </cell>
        </row>
        <row r="3089">
          <cell r="B3089" t="str">
            <v>1613-1150001-MC</v>
          </cell>
          <cell r="C3089" t="str">
            <v>MCS</v>
          </cell>
        </row>
        <row r="3090">
          <cell r="B3090" t="str">
            <v>1613-1YY0007-MT</v>
          </cell>
          <cell r="C3090" t="str">
            <v>MCS</v>
          </cell>
        </row>
        <row r="3091">
          <cell r="B3091" t="str">
            <v>1613-1YY0013-MC</v>
          </cell>
          <cell r="C3091" t="str">
            <v>MCS</v>
          </cell>
        </row>
        <row r="3092">
          <cell r="B3092" t="str">
            <v>1613-1YY0014-MC</v>
          </cell>
          <cell r="C3092" t="str">
            <v>MCS</v>
          </cell>
        </row>
        <row r="3093">
          <cell r="B3093" t="str">
            <v>1613-1YY0015-MC</v>
          </cell>
          <cell r="C3093" t="str">
            <v>MCS</v>
          </cell>
        </row>
        <row r="3094">
          <cell r="B3094" t="str">
            <v>1606-1YY0034-MT</v>
          </cell>
          <cell r="C3094" t="str">
            <v>MCS</v>
          </cell>
        </row>
        <row r="3095">
          <cell r="B3095" t="str">
            <v>1611-1YY0002-MT</v>
          </cell>
          <cell r="C3095" t="str">
            <v>MCS</v>
          </cell>
        </row>
        <row r="3096">
          <cell r="B3096" t="str">
            <v>1615-1YY0133-MT</v>
          </cell>
          <cell r="C3096" t="str">
            <v>MCS</v>
          </cell>
        </row>
        <row r="3097">
          <cell r="B3097" t="str">
            <v>1615-1YY0134-MT</v>
          </cell>
          <cell r="C3097" t="str">
            <v>MCS</v>
          </cell>
        </row>
        <row r="3098">
          <cell r="B3098" t="str">
            <v>1615-1YY0135-MT</v>
          </cell>
          <cell r="C3098" t="str">
            <v>MCS</v>
          </cell>
        </row>
        <row r="3099">
          <cell r="B3099" t="str">
            <v>1615-1YY0136-MT</v>
          </cell>
          <cell r="C3099" t="str">
            <v>MCS</v>
          </cell>
        </row>
        <row r="3100">
          <cell r="B3100" t="str">
            <v>1615-1YY0137-MT</v>
          </cell>
          <cell r="C3100" t="str">
            <v>MCS</v>
          </cell>
        </row>
        <row r="3101">
          <cell r="B3101" t="str">
            <v>1615-1YY0138-MT</v>
          </cell>
          <cell r="C3101" t="str">
            <v>MCS</v>
          </cell>
        </row>
        <row r="3102">
          <cell r="B3102" t="str">
            <v>1615-1YY0139-MT</v>
          </cell>
          <cell r="C3102" t="str">
            <v>MCS</v>
          </cell>
        </row>
        <row r="3103">
          <cell r="B3103" t="str">
            <v>1615-1YY0140-MT</v>
          </cell>
          <cell r="C3103" t="str">
            <v>MCS</v>
          </cell>
        </row>
        <row r="3104">
          <cell r="B3104" t="str">
            <v>1615-1YY0141-MT</v>
          </cell>
          <cell r="C3104" t="str">
            <v>MCS</v>
          </cell>
        </row>
        <row r="3105">
          <cell r="B3105" t="str">
            <v>1615-1YY0143-MT</v>
          </cell>
          <cell r="C3105" t="str">
            <v>MCS</v>
          </cell>
        </row>
        <row r="3106">
          <cell r="B3106" t="str">
            <v>1615-1YY0150-MT</v>
          </cell>
          <cell r="C3106" t="str">
            <v>MCS</v>
          </cell>
        </row>
        <row r="3107">
          <cell r="B3107" t="str">
            <v>1615-1YY0151-MT</v>
          </cell>
          <cell r="C3107" t="str">
            <v>MCS</v>
          </cell>
        </row>
        <row r="3108">
          <cell r="B3108" t="str">
            <v>1615-1YY0152-MT</v>
          </cell>
          <cell r="C3108" t="str">
            <v>MCS</v>
          </cell>
        </row>
        <row r="3109">
          <cell r="B3109" t="str">
            <v>1615-1YY0157-MT</v>
          </cell>
          <cell r="C3109" t="str">
            <v>MCS</v>
          </cell>
        </row>
        <row r="3110">
          <cell r="B3110" t="str">
            <v>1615-1YY0163-MT</v>
          </cell>
          <cell r="C3110" t="str">
            <v>MCS</v>
          </cell>
        </row>
        <row r="3111">
          <cell r="B3111" t="str">
            <v>1615-1YY0164-MT</v>
          </cell>
          <cell r="C3111" t="str">
            <v>MCS</v>
          </cell>
        </row>
        <row r="3112">
          <cell r="B3112" t="str">
            <v>1615-1YY0165-MT</v>
          </cell>
          <cell r="C3112" t="str">
            <v>MCS</v>
          </cell>
        </row>
        <row r="3113">
          <cell r="B3113" t="str">
            <v>1615-1YY0166-MT</v>
          </cell>
          <cell r="C3113" t="str">
            <v>MCS</v>
          </cell>
        </row>
        <row r="3114">
          <cell r="B3114" t="str">
            <v>1615-1YY0167-MT</v>
          </cell>
          <cell r="C3114" t="str">
            <v>MCS</v>
          </cell>
        </row>
        <row r="3115">
          <cell r="B3115" t="str">
            <v>1615-1YY0168-MT</v>
          </cell>
          <cell r="C3115" t="str">
            <v>MCS</v>
          </cell>
        </row>
        <row r="3116">
          <cell r="B3116" t="str">
            <v>1615-1YY0169-MT</v>
          </cell>
          <cell r="C3116" t="str">
            <v>MCS</v>
          </cell>
        </row>
        <row r="3117">
          <cell r="B3117" t="str">
            <v>1615-1YY0170-MT</v>
          </cell>
          <cell r="C3117" t="str">
            <v>MCS</v>
          </cell>
        </row>
        <row r="3118">
          <cell r="B3118" t="str">
            <v>1615-1YY0171-MT</v>
          </cell>
          <cell r="C3118" t="str">
            <v>MCS</v>
          </cell>
        </row>
        <row r="3119">
          <cell r="B3119" t="str">
            <v>1615-1YY0172-MT</v>
          </cell>
          <cell r="C3119" t="str">
            <v>MCS</v>
          </cell>
        </row>
        <row r="3120">
          <cell r="B3120" t="str">
            <v>1615-1YY0173-MT</v>
          </cell>
          <cell r="C3120" t="str">
            <v>MCS</v>
          </cell>
        </row>
        <row r="3121">
          <cell r="B3121" t="str">
            <v>1615-1YY0174-MT</v>
          </cell>
          <cell r="C3121" t="str">
            <v>MCS</v>
          </cell>
        </row>
        <row r="3122">
          <cell r="B3122" t="str">
            <v>1615-1YY0175-MT</v>
          </cell>
          <cell r="C3122" t="str">
            <v>MCS</v>
          </cell>
        </row>
        <row r="3123">
          <cell r="B3123" t="str">
            <v>1615-1YY0176-MT</v>
          </cell>
          <cell r="C3123" t="str">
            <v>MCS</v>
          </cell>
        </row>
        <row r="3124">
          <cell r="B3124" t="str">
            <v>1615-1YY0177-MT</v>
          </cell>
          <cell r="C3124" t="str">
            <v>MCS</v>
          </cell>
        </row>
        <row r="3125">
          <cell r="B3125" t="str">
            <v>1615-1YY0178-MT</v>
          </cell>
          <cell r="C3125" t="str">
            <v>MCS</v>
          </cell>
        </row>
        <row r="3126">
          <cell r="B3126" t="str">
            <v>1615-1YY0179-MT</v>
          </cell>
          <cell r="C3126" t="str">
            <v>MCS</v>
          </cell>
        </row>
        <row r="3127">
          <cell r="B3127" t="str">
            <v>1615-1YY0180-MT</v>
          </cell>
          <cell r="C3127" t="str">
            <v>MCS</v>
          </cell>
        </row>
        <row r="3128">
          <cell r="B3128" t="str">
            <v>1615-1YY0181-MT</v>
          </cell>
          <cell r="C3128" t="str">
            <v>MCS</v>
          </cell>
        </row>
        <row r="3129">
          <cell r="B3129" t="str">
            <v>1615-1YY0184-MT</v>
          </cell>
          <cell r="C3129" t="str">
            <v>MCS</v>
          </cell>
        </row>
        <row r="3130">
          <cell r="B3130" t="str">
            <v>1615-1YY0186-MT</v>
          </cell>
          <cell r="C3130" t="str">
            <v>MCS</v>
          </cell>
        </row>
        <row r="3131">
          <cell r="B3131" t="str">
            <v>1615-1YY0188-MT</v>
          </cell>
          <cell r="C3131" t="str">
            <v>MCS</v>
          </cell>
        </row>
        <row r="3132">
          <cell r="B3132" t="str">
            <v>1615-1YY0190-MT</v>
          </cell>
          <cell r="C3132" t="str">
            <v>MCS</v>
          </cell>
        </row>
        <row r="3133">
          <cell r="B3133" t="str">
            <v>1615-1YY0192-MT</v>
          </cell>
          <cell r="C3133" t="str">
            <v>MCS</v>
          </cell>
        </row>
        <row r="3134">
          <cell r="B3134" t="str">
            <v>1615-1YY0196-MT</v>
          </cell>
          <cell r="C3134" t="str">
            <v>MCS</v>
          </cell>
        </row>
        <row r="3135">
          <cell r="B3135" t="str">
            <v>1615-1YY0199-MT</v>
          </cell>
          <cell r="C3135" t="str">
            <v>MCS</v>
          </cell>
        </row>
        <row r="3136">
          <cell r="B3136" t="str">
            <v>1615-1YY0201-MT</v>
          </cell>
          <cell r="C3136" t="str">
            <v>MCS</v>
          </cell>
        </row>
        <row r="3137">
          <cell r="B3137" t="str">
            <v>1615-1YY0229-MT</v>
          </cell>
          <cell r="C3137" t="str">
            <v>MCS</v>
          </cell>
        </row>
        <row r="3138">
          <cell r="B3138" t="str">
            <v>1615-1YY0252-MT</v>
          </cell>
          <cell r="C3138" t="str">
            <v>MCS</v>
          </cell>
        </row>
        <row r="3139">
          <cell r="B3139" t="str">
            <v>1615-1YY0297-MT</v>
          </cell>
          <cell r="C3139" t="str">
            <v>MCS</v>
          </cell>
        </row>
        <row r="3140">
          <cell r="B3140" t="str">
            <v>1615-1YY0298-MT</v>
          </cell>
          <cell r="C3140" t="str">
            <v>MCS</v>
          </cell>
        </row>
        <row r="3141">
          <cell r="B3141" t="str">
            <v>1615-1YY0299-MT</v>
          </cell>
          <cell r="C3141" t="str">
            <v>MCS</v>
          </cell>
        </row>
        <row r="3142">
          <cell r="B3142" t="str">
            <v>1615-1YY0300-MT</v>
          </cell>
          <cell r="C3142" t="str">
            <v>MCS</v>
          </cell>
        </row>
        <row r="3143">
          <cell r="B3143" t="str">
            <v>1615-1YY0301-MT</v>
          </cell>
          <cell r="C3143" t="str">
            <v>MCS</v>
          </cell>
        </row>
        <row r="3144">
          <cell r="B3144" t="str">
            <v>1615-1YY0302-MT</v>
          </cell>
          <cell r="C3144" t="str">
            <v>MCS</v>
          </cell>
        </row>
        <row r="3145">
          <cell r="B3145" t="str">
            <v>1615-1YY0303-MT</v>
          </cell>
          <cell r="C3145" t="str">
            <v>MCS</v>
          </cell>
        </row>
        <row r="3146">
          <cell r="B3146" t="str">
            <v>1615-1YY0327-MT</v>
          </cell>
          <cell r="C3146" t="str">
            <v>MCS</v>
          </cell>
        </row>
        <row r="3147">
          <cell r="B3147" t="str">
            <v>1615-1YY0328-MT</v>
          </cell>
          <cell r="C3147" t="str">
            <v>MCS</v>
          </cell>
        </row>
        <row r="3148">
          <cell r="B3148" t="str">
            <v>1616-1YY0075-MT</v>
          </cell>
          <cell r="C3148" t="str">
            <v>MCS</v>
          </cell>
        </row>
        <row r="3149">
          <cell r="B3149" t="str">
            <v>1616-1YY0076-MT</v>
          </cell>
          <cell r="C3149" t="str">
            <v>MCS</v>
          </cell>
        </row>
        <row r="3150">
          <cell r="B3150" t="str">
            <v>1616-1YY0077-MT</v>
          </cell>
          <cell r="C3150" t="str">
            <v>MCS</v>
          </cell>
        </row>
        <row r="3151">
          <cell r="B3151" t="str">
            <v>1616-1YY0078-MT</v>
          </cell>
          <cell r="C3151" t="str">
            <v>MCS</v>
          </cell>
        </row>
        <row r="3152">
          <cell r="B3152" t="str">
            <v>1616-1YY0079-MT</v>
          </cell>
          <cell r="C3152" t="str">
            <v>MCS</v>
          </cell>
        </row>
        <row r="3153">
          <cell r="B3153" t="str">
            <v>1616-1YY0080-MT</v>
          </cell>
          <cell r="C3153" t="str">
            <v>MCS</v>
          </cell>
        </row>
        <row r="3154">
          <cell r="B3154" t="str">
            <v>1616-1YY0081-MT</v>
          </cell>
          <cell r="C3154" t="str">
            <v>MCS</v>
          </cell>
        </row>
        <row r="3155">
          <cell r="B3155" t="str">
            <v>1616-1YY0082-MT</v>
          </cell>
          <cell r="C3155" t="str">
            <v>MCS</v>
          </cell>
        </row>
        <row r="3156">
          <cell r="B3156" t="str">
            <v>1616-1YY0083-MT</v>
          </cell>
          <cell r="C3156" t="str">
            <v>MCS</v>
          </cell>
        </row>
        <row r="3157">
          <cell r="B3157" t="str">
            <v>1616-1YY0084-MT</v>
          </cell>
          <cell r="C3157" t="str">
            <v>MCS</v>
          </cell>
        </row>
        <row r="3158">
          <cell r="B3158" t="str">
            <v>1616-1YY0085-MT</v>
          </cell>
          <cell r="C3158" t="str">
            <v>MCS</v>
          </cell>
        </row>
        <row r="3159">
          <cell r="B3159" t="str">
            <v>1616-1YY0086-MT</v>
          </cell>
          <cell r="C3159" t="str">
            <v>MCS</v>
          </cell>
        </row>
        <row r="3160">
          <cell r="B3160" t="str">
            <v>1616-1YY0087-MT</v>
          </cell>
          <cell r="C3160" t="str">
            <v>MCS</v>
          </cell>
        </row>
        <row r="3161">
          <cell r="B3161" t="str">
            <v>1616-1YY0088-MT</v>
          </cell>
          <cell r="C3161" t="str">
            <v>MCS</v>
          </cell>
        </row>
        <row r="3162">
          <cell r="B3162" t="str">
            <v>1616-1YY0089-MT</v>
          </cell>
          <cell r="C3162" t="str">
            <v>MCS</v>
          </cell>
        </row>
        <row r="3163">
          <cell r="B3163" t="str">
            <v>1616-1YY0091-MT</v>
          </cell>
          <cell r="C3163" t="str">
            <v>MCS</v>
          </cell>
        </row>
        <row r="3164">
          <cell r="B3164" t="str">
            <v>1616-1YY0092-MT</v>
          </cell>
          <cell r="C3164" t="str">
            <v>MCS</v>
          </cell>
        </row>
        <row r="3165">
          <cell r="B3165" t="str">
            <v>1616-1YY0097-MT</v>
          </cell>
          <cell r="C3165" t="str">
            <v>MCS</v>
          </cell>
        </row>
        <row r="3166">
          <cell r="B3166" t="str">
            <v>1616-1YY0098-MT</v>
          </cell>
          <cell r="C3166" t="str">
            <v>MCS</v>
          </cell>
        </row>
        <row r="3167">
          <cell r="B3167" t="str">
            <v>1616-1YY0103-MT</v>
          </cell>
          <cell r="C3167" t="str">
            <v>MCS</v>
          </cell>
        </row>
        <row r="3168">
          <cell r="B3168" t="str">
            <v>1616-1YY0125-MT</v>
          </cell>
          <cell r="C3168" t="str">
            <v>MCS</v>
          </cell>
        </row>
        <row r="3169">
          <cell r="B3169" t="str">
            <v>1616-1YY0127-MT</v>
          </cell>
          <cell r="C3169" t="str">
            <v>MCS</v>
          </cell>
        </row>
        <row r="3170">
          <cell r="B3170" t="str">
            <v>1616-1YY0128-MT</v>
          </cell>
          <cell r="C3170" t="str">
            <v>MCS</v>
          </cell>
        </row>
        <row r="3171">
          <cell r="B3171" t="str">
            <v>1616-1YY0129-MT</v>
          </cell>
          <cell r="C3171" t="str">
            <v>MCS</v>
          </cell>
        </row>
        <row r="3172">
          <cell r="B3172" t="str">
            <v>1616-1YY0131-MT</v>
          </cell>
          <cell r="C3172" t="str">
            <v>MCS</v>
          </cell>
        </row>
        <row r="3173">
          <cell r="B3173" t="str">
            <v>1616-1YY0135-MT</v>
          </cell>
          <cell r="C3173" t="str">
            <v>MCS</v>
          </cell>
        </row>
        <row r="3174">
          <cell r="B3174" t="str">
            <v>1616-1YY0163-MT</v>
          </cell>
          <cell r="C3174" t="str">
            <v>MCS</v>
          </cell>
        </row>
        <row r="3175">
          <cell r="B3175" t="str">
            <v>1616-1YY0189-MT</v>
          </cell>
          <cell r="C3175" t="str">
            <v>MCS</v>
          </cell>
        </row>
        <row r="3176">
          <cell r="B3176" t="str">
            <v>1616-1YY0190-MT</v>
          </cell>
          <cell r="C3176" t="str">
            <v>MCS</v>
          </cell>
        </row>
        <row r="3177">
          <cell r="B3177" t="str">
            <v>1616-1YY0191-MT</v>
          </cell>
          <cell r="C3177" t="str">
            <v>MCS</v>
          </cell>
        </row>
        <row r="3178">
          <cell r="B3178" t="str">
            <v>1616-1YY0194-MT</v>
          </cell>
          <cell r="C3178" t="str">
            <v>MCS</v>
          </cell>
        </row>
        <row r="3179">
          <cell r="B3179" t="str">
            <v>1616-1YY0226-MT</v>
          </cell>
          <cell r="C3179" t="str">
            <v>MCS</v>
          </cell>
        </row>
        <row r="3180">
          <cell r="B3180" t="str">
            <v>1616-1YY0227-MT</v>
          </cell>
          <cell r="C3180" t="str">
            <v>MCS</v>
          </cell>
        </row>
        <row r="3181">
          <cell r="B3181" t="str">
            <v>1616-1YY0228-MT</v>
          </cell>
          <cell r="C3181" t="str">
            <v>MCS</v>
          </cell>
        </row>
        <row r="3182">
          <cell r="B3182" t="str">
            <v>1616-1YY0263-MT</v>
          </cell>
          <cell r="C3182" t="str">
            <v>MCS</v>
          </cell>
        </row>
        <row r="3183">
          <cell r="B3183" t="str">
            <v>1616-1YY0264-MT</v>
          </cell>
          <cell r="C3183" t="str">
            <v>MCS</v>
          </cell>
        </row>
        <row r="3184">
          <cell r="B3184" t="str">
            <v>1616-1YY0265-MT</v>
          </cell>
          <cell r="C3184" t="str">
            <v>MCS</v>
          </cell>
        </row>
        <row r="3185">
          <cell r="B3185" t="str">
            <v>1616-1YY0266-MT</v>
          </cell>
          <cell r="C3185" t="str">
            <v>MCS</v>
          </cell>
        </row>
        <row r="3186">
          <cell r="B3186" t="str">
            <v>1616-1YY0267-MT</v>
          </cell>
          <cell r="C3186" t="str">
            <v>MCS</v>
          </cell>
        </row>
        <row r="3187">
          <cell r="B3187" t="str">
            <v>1616-5YY3182</v>
          </cell>
          <cell r="C3187" t="str">
            <v>MCS</v>
          </cell>
        </row>
        <row r="3188">
          <cell r="B3188" t="str">
            <v>1619-1YY0019-MT</v>
          </cell>
          <cell r="C3188" t="str">
            <v>MCS</v>
          </cell>
        </row>
        <row r="3189">
          <cell r="B3189" t="str">
            <v>1619-1YY0020-MT</v>
          </cell>
          <cell r="C3189" t="str">
            <v>MCS</v>
          </cell>
        </row>
        <row r="3190">
          <cell r="B3190" t="str">
            <v>1619-1YY0021-MT</v>
          </cell>
          <cell r="C3190" t="str">
            <v>MCS</v>
          </cell>
        </row>
        <row r="3191">
          <cell r="B3191" t="str">
            <v>1619-1YY0032-MT</v>
          </cell>
          <cell r="C3191" t="str">
            <v>MCS</v>
          </cell>
        </row>
        <row r="3192">
          <cell r="B3192" t="str">
            <v>1619-1YY0033-MT</v>
          </cell>
          <cell r="C3192" t="str">
            <v>MCS</v>
          </cell>
        </row>
        <row r="3193">
          <cell r="B3193" t="str">
            <v>1619-1YY0034-MT</v>
          </cell>
          <cell r="C3193" t="str">
            <v>MCS</v>
          </cell>
        </row>
        <row r="3194">
          <cell r="B3194" t="str">
            <v>1619-1YY0035-MT</v>
          </cell>
          <cell r="C3194" t="str">
            <v>MCS</v>
          </cell>
        </row>
        <row r="3195">
          <cell r="B3195" t="str">
            <v>1619-1YY0037-MT</v>
          </cell>
          <cell r="C3195" t="str">
            <v>MCS</v>
          </cell>
        </row>
        <row r="3196">
          <cell r="B3196" t="str">
            <v>1621-5YY0087</v>
          </cell>
          <cell r="C3196" t="str">
            <v>MCS</v>
          </cell>
        </row>
        <row r="3197">
          <cell r="B3197" t="str">
            <v>1621-5YY0108</v>
          </cell>
          <cell r="C3197" t="str">
            <v>MCS</v>
          </cell>
        </row>
        <row r="3198">
          <cell r="B3198" t="str">
            <v>1621-5YY0109</v>
          </cell>
          <cell r="C3198" t="str">
            <v>MCS</v>
          </cell>
        </row>
        <row r="3199">
          <cell r="B3199" t="str">
            <v>1621-5YY0110</v>
          </cell>
          <cell r="C3199" t="str">
            <v>MCS</v>
          </cell>
        </row>
        <row r="3200">
          <cell r="B3200" t="str">
            <v>1621-5YY0130</v>
          </cell>
          <cell r="C3200" t="str">
            <v>MCS</v>
          </cell>
        </row>
        <row r="3201">
          <cell r="B3201" t="str">
            <v>1621-5YY0132</v>
          </cell>
          <cell r="C3201" t="str">
            <v>MCS</v>
          </cell>
        </row>
        <row r="3202">
          <cell r="B3202" t="str">
            <v>1624-1010005EP</v>
          </cell>
          <cell r="C3202" t="str">
            <v>MCS</v>
          </cell>
        </row>
        <row r="3203">
          <cell r="B3203" t="str">
            <v>1624-1YY0005-MT</v>
          </cell>
          <cell r="C3203" t="str">
            <v>MCS</v>
          </cell>
        </row>
        <row r="3204">
          <cell r="B3204" t="str">
            <v>1629-1YY0010-MT</v>
          </cell>
          <cell r="C3204" t="str">
            <v>MCS</v>
          </cell>
        </row>
        <row r="3205">
          <cell r="B3205" t="str">
            <v>1629-1YY0012-MT</v>
          </cell>
          <cell r="C3205" t="str">
            <v>MCS</v>
          </cell>
        </row>
        <row r="3206">
          <cell r="B3206" t="str">
            <v>1629-1YY0017-MT</v>
          </cell>
          <cell r="C3206" t="str">
            <v>MCS</v>
          </cell>
        </row>
        <row r="3207">
          <cell r="B3207" t="str">
            <v>1629-1YY0023-MT</v>
          </cell>
          <cell r="C3207" t="str">
            <v>MCS</v>
          </cell>
        </row>
        <row r="3208">
          <cell r="B3208" t="str">
            <v>1629-1YY0024-MT</v>
          </cell>
          <cell r="C3208" t="str">
            <v>MCS</v>
          </cell>
        </row>
        <row r="3209">
          <cell r="B3209" t="str">
            <v>1629-1YY0026-MT</v>
          </cell>
          <cell r="C3209" t="str">
            <v>MCS</v>
          </cell>
        </row>
        <row r="3210">
          <cell r="B3210" t="str">
            <v>1629-1YY0029-MT</v>
          </cell>
          <cell r="C3210" t="str">
            <v>MCS</v>
          </cell>
        </row>
        <row r="3211">
          <cell r="B3211" t="str">
            <v>1629-1YY0041-MT</v>
          </cell>
          <cell r="C3211" t="str">
            <v>MCS</v>
          </cell>
        </row>
        <row r="3212">
          <cell r="B3212" t="str">
            <v>1629-1YY0044-MT</v>
          </cell>
          <cell r="C3212" t="str">
            <v>MCS</v>
          </cell>
        </row>
        <row r="3213">
          <cell r="B3213" t="str">
            <v>1633-1YY0004-MT</v>
          </cell>
          <cell r="C3213" t="str">
            <v>MCS</v>
          </cell>
        </row>
        <row r="3214">
          <cell r="B3214" t="str">
            <v>1633-1YY0007-MT</v>
          </cell>
          <cell r="C3214" t="str">
            <v>MCS</v>
          </cell>
        </row>
        <row r="3215">
          <cell r="B3215" t="str">
            <v>1663-5YY0105/MX</v>
          </cell>
          <cell r="C3215" t="str">
            <v>MCS</v>
          </cell>
        </row>
        <row r="3216">
          <cell r="B3216" t="str">
            <v>1663-5YY0106/MX</v>
          </cell>
          <cell r="C3216" t="str">
            <v>MCS</v>
          </cell>
        </row>
        <row r="3217">
          <cell r="B3217" t="str">
            <v>1663-5YY0122/MX</v>
          </cell>
          <cell r="C3217" t="str">
            <v>MCS</v>
          </cell>
        </row>
        <row r="3218">
          <cell r="B3218" t="str">
            <v>1663-5YY0124/MX</v>
          </cell>
          <cell r="C3218" t="str">
            <v>MCS</v>
          </cell>
        </row>
        <row r="3219">
          <cell r="B3219" t="str">
            <v>1663-5YY0144/MX</v>
          </cell>
          <cell r="C3219" t="str">
            <v>MCS</v>
          </cell>
        </row>
        <row r="3220">
          <cell r="B3220" t="str">
            <v>1663-5YY0145/MX</v>
          </cell>
          <cell r="C3220" t="str">
            <v>MCS</v>
          </cell>
        </row>
        <row r="3221">
          <cell r="B3221" t="str">
            <v>1663-5YY0157/MX</v>
          </cell>
          <cell r="C3221" t="str">
            <v>MCS</v>
          </cell>
        </row>
        <row r="3222">
          <cell r="B3222" t="str">
            <v>1663-5YY0161/MX</v>
          </cell>
          <cell r="C3222" t="str">
            <v>MCS</v>
          </cell>
        </row>
        <row r="3223">
          <cell r="B3223" t="str">
            <v>1663-5YY0164/MX</v>
          </cell>
          <cell r="C3223" t="str">
            <v>MCS</v>
          </cell>
        </row>
        <row r="3224">
          <cell r="B3224">
            <v>20000</v>
          </cell>
          <cell r="C3224" t="str">
            <v>MCS</v>
          </cell>
        </row>
        <row r="3225">
          <cell r="B3225">
            <v>20009</v>
          </cell>
          <cell r="C3225" t="str">
            <v>MCS</v>
          </cell>
        </row>
        <row r="3226">
          <cell r="B3226">
            <v>20020</v>
          </cell>
          <cell r="C3226" t="str">
            <v>MCS</v>
          </cell>
        </row>
        <row r="3227">
          <cell r="B3227">
            <v>20023</v>
          </cell>
          <cell r="C3227" t="str">
            <v>MCS</v>
          </cell>
        </row>
        <row r="3228">
          <cell r="B3228" t="str">
            <v>20710-52100</v>
          </cell>
          <cell r="C3228" t="str">
            <v>MCS</v>
          </cell>
        </row>
        <row r="3229">
          <cell r="B3229" t="str">
            <v>20710-53900</v>
          </cell>
          <cell r="C3229" t="str">
            <v>MCS</v>
          </cell>
        </row>
        <row r="3230">
          <cell r="B3230" t="str">
            <v>20711-52100</v>
          </cell>
          <cell r="C3230" t="str">
            <v>MCS</v>
          </cell>
        </row>
        <row r="3231">
          <cell r="B3231">
            <v>843180701</v>
          </cell>
          <cell r="C3231" t="str">
            <v>MCS</v>
          </cell>
        </row>
        <row r="3232">
          <cell r="B3232" t="str">
            <v>AYSP61AS831</v>
          </cell>
          <cell r="C3232" t="str">
            <v>MCS</v>
          </cell>
        </row>
        <row r="3233">
          <cell r="B3233" t="str">
            <v>AYSP61AS832</v>
          </cell>
          <cell r="C3233" t="str">
            <v>MCS</v>
          </cell>
        </row>
        <row r="3234">
          <cell r="B3234" t="str">
            <v>AYSP61AS833</v>
          </cell>
          <cell r="C3234" t="str">
            <v>MCS</v>
          </cell>
        </row>
        <row r="3235">
          <cell r="B3235" t="str">
            <v>C-CK-CLE-PA2030-M</v>
          </cell>
          <cell r="C3235" t="str">
            <v>MCS</v>
          </cell>
        </row>
        <row r="3236">
          <cell r="B3236" t="str">
            <v>CPLBPA006/1</v>
          </cell>
          <cell r="C3236" t="str">
            <v>MCS</v>
          </cell>
        </row>
        <row r="3237">
          <cell r="B3237" t="str">
            <v>CPPKPB005/1</v>
          </cell>
          <cell r="C3237" t="str">
            <v>MCS</v>
          </cell>
        </row>
        <row r="3238">
          <cell r="B3238" t="str">
            <v>CPPKPG001</v>
          </cell>
          <cell r="C3238" t="str">
            <v>MCS</v>
          </cell>
        </row>
        <row r="3239">
          <cell r="B3239" t="str">
            <v>CPPKPW013/1</v>
          </cell>
          <cell r="C3239" t="str">
            <v>MCS</v>
          </cell>
        </row>
        <row r="3240">
          <cell r="B3240" t="str">
            <v>CPPKPW1200X800</v>
          </cell>
          <cell r="C3240" t="str">
            <v>MCS</v>
          </cell>
        </row>
        <row r="3241">
          <cell r="B3241" t="str">
            <v>RMACDR25D</v>
          </cell>
          <cell r="C3241" t="str">
            <v>MCS</v>
          </cell>
        </row>
        <row r="3242">
          <cell r="B3242" t="str">
            <v>RMARCP77</v>
          </cell>
          <cell r="C3242" t="str">
            <v>MCS</v>
          </cell>
        </row>
        <row r="3243">
          <cell r="B3243" t="str">
            <v>RMCUBW291</v>
          </cell>
          <cell r="C3243" t="str">
            <v>MCS</v>
          </cell>
        </row>
        <row r="3244">
          <cell r="B3244" t="str">
            <v>RMPERYFR530</v>
          </cell>
          <cell r="C3244" t="str">
            <v>MCS</v>
          </cell>
        </row>
        <row r="3245">
          <cell r="B3245" t="str">
            <v>RMPPSB001X110</v>
          </cell>
          <cell r="C3245" t="str">
            <v>MCS</v>
          </cell>
        </row>
        <row r="3246">
          <cell r="B3246" t="str">
            <v>RMPUROR423</v>
          </cell>
          <cell r="C3246" t="str">
            <v>MCS</v>
          </cell>
        </row>
        <row r="3247">
          <cell r="B3247" t="str">
            <v>RMRBCN201-73</v>
          </cell>
          <cell r="C3247" t="str">
            <v>MCS</v>
          </cell>
        </row>
        <row r="3248">
          <cell r="B3248" t="str">
            <v>RMSISC032X050</v>
          </cell>
          <cell r="C3248" t="str">
            <v>MCS</v>
          </cell>
        </row>
        <row r="3249">
          <cell r="B3249" t="str">
            <v>RMSISC037X050</v>
          </cell>
          <cell r="C3249" t="str">
            <v>MCS</v>
          </cell>
        </row>
        <row r="3250">
          <cell r="B3250" t="str">
            <v>RMSISC042X050</v>
          </cell>
          <cell r="C3250" t="str">
            <v>MCS</v>
          </cell>
        </row>
        <row r="3251">
          <cell r="B3251" t="str">
            <v>RMSISC063X050</v>
          </cell>
          <cell r="C3251" t="str">
            <v>MCS</v>
          </cell>
        </row>
        <row r="3252">
          <cell r="B3252" t="str">
            <v>RMSISC105X050H</v>
          </cell>
          <cell r="C3252" t="str">
            <v>MCS</v>
          </cell>
        </row>
        <row r="3253">
          <cell r="B3253" t="str">
            <v>RMSISC106X050</v>
          </cell>
          <cell r="C3253" t="str">
            <v>MCS</v>
          </cell>
        </row>
        <row r="3254">
          <cell r="B3254" t="str">
            <v>RMSISC109X050H</v>
          </cell>
          <cell r="C3254" t="str">
            <v>MCS</v>
          </cell>
        </row>
        <row r="3255">
          <cell r="B3255" t="str">
            <v>RMSISC110X050H</v>
          </cell>
          <cell r="C3255" t="str">
            <v>MCS</v>
          </cell>
        </row>
        <row r="3256">
          <cell r="B3256" t="str">
            <v>RMSISC123X050</v>
          </cell>
          <cell r="C3256" t="str">
            <v>MCS</v>
          </cell>
        </row>
        <row r="3257">
          <cell r="B3257" t="str">
            <v>RMSISC157X050</v>
          </cell>
          <cell r="C3257" t="str">
            <v>MCS</v>
          </cell>
        </row>
        <row r="3258">
          <cell r="B3258" t="str">
            <v>0060-8380302</v>
          </cell>
          <cell r="C3258" t="str">
            <v>M45</v>
          </cell>
        </row>
        <row r="3259">
          <cell r="B3259" t="str">
            <v>0060-8390180</v>
          </cell>
          <cell r="C3259" t="str">
            <v>M45</v>
          </cell>
        </row>
        <row r="3260">
          <cell r="B3260" t="str">
            <v>0060-8390360</v>
          </cell>
          <cell r="C3260" t="str">
            <v>M45</v>
          </cell>
        </row>
        <row r="3261">
          <cell r="B3261" t="str">
            <v>0062-1000080-3</v>
          </cell>
          <cell r="C3261" t="str">
            <v>M45</v>
          </cell>
        </row>
        <row r="3262">
          <cell r="B3262" t="str">
            <v>0070-M040002</v>
          </cell>
          <cell r="C3262" t="str">
            <v>M45</v>
          </cell>
        </row>
        <row r="3263">
          <cell r="B3263" t="str">
            <v>0073-8290027-B</v>
          </cell>
          <cell r="C3263" t="str">
            <v>M45</v>
          </cell>
        </row>
        <row r="3264">
          <cell r="B3264" t="str">
            <v>0073-8300027-Y</v>
          </cell>
          <cell r="C3264" t="str">
            <v>M45</v>
          </cell>
        </row>
        <row r="3265">
          <cell r="B3265" t="str">
            <v>0073-904A080</v>
          </cell>
          <cell r="C3265" t="str">
            <v>M45</v>
          </cell>
        </row>
        <row r="3266">
          <cell r="B3266" t="str">
            <v>0151919-006</v>
          </cell>
          <cell r="C3266" t="str">
            <v>M45</v>
          </cell>
        </row>
        <row r="3267">
          <cell r="B3267" t="str">
            <v>1201-9020001</v>
          </cell>
          <cell r="C3267" t="str">
            <v>M45</v>
          </cell>
        </row>
        <row r="3268">
          <cell r="B3268" t="str">
            <v>1201-9020002</v>
          </cell>
          <cell r="C3268" t="str">
            <v>M45</v>
          </cell>
        </row>
        <row r="3269">
          <cell r="B3269" t="str">
            <v>1205-9020001</v>
          </cell>
          <cell r="C3269" t="str">
            <v>M45</v>
          </cell>
        </row>
        <row r="3270">
          <cell r="B3270" t="str">
            <v>1205-9020002</v>
          </cell>
          <cell r="C3270" t="str">
            <v>M45</v>
          </cell>
        </row>
        <row r="3271">
          <cell r="B3271" t="str">
            <v>1205-MYY0001</v>
          </cell>
          <cell r="C3271" t="str">
            <v>M45</v>
          </cell>
        </row>
        <row r="3272">
          <cell r="B3272" t="str">
            <v>1205-MYY0007</v>
          </cell>
          <cell r="C3272" t="str">
            <v>M45</v>
          </cell>
        </row>
        <row r="3273">
          <cell r="B3273" t="str">
            <v>1205-MYY0008</v>
          </cell>
          <cell r="C3273" t="str">
            <v>M45</v>
          </cell>
        </row>
        <row r="3274">
          <cell r="B3274" t="str">
            <v>1205-MYY0009</v>
          </cell>
          <cell r="C3274" t="str">
            <v>M45</v>
          </cell>
        </row>
        <row r="3275">
          <cell r="B3275" t="str">
            <v>1205-MYY0010</v>
          </cell>
          <cell r="C3275" t="str">
            <v>M45</v>
          </cell>
        </row>
        <row r="3276">
          <cell r="B3276" t="str">
            <v>1205-MYY0011</v>
          </cell>
          <cell r="C3276" t="str">
            <v>M45</v>
          </cell>
        </row>
        <row r="3277">
          <cell r="B3277" t="str">
            <v>1209-MYY0002</v>
          </cell>
          <cell r="C3277" t="str">
            <v>M45</v>
          </cell>
        </row>
        <row r="3278">
          <cell r="B3278" t="str">
            <v>1209-MYY0003</v>
          </cell>
          <cell r="C3278" t="str">
            <v>M45</v>
          </cell>
        </row>
        <row r="3279">
          <cell r="B3279" t="str">
            <v>1263-MYY0001</v>
          </cell>
          <cell r="C3279" t="str">
            <v>M45</v>
          </cell>
        </row>
        <row r="3280">
          <cell r="B3280" t="str">
            <v>1275-MYY0001</v>
          </cell>
          <cell r="C3280" t="str">
            <v>M45</v>
          </cell>
        </row>
        <row r="3281">
          <cell r="B3281" t="str">
            <v>1275-MYY0002</v>
          </cell>
          <cell r="C3281" t="str">
            <v>M45</v>
          </cell>
        </row>
        <row r="3282">
          <cell r="B3282" t="str">
            <v>1277-9020001</v>
          </cell>
          <cell r="C3282" t="str">
            <v>M45</v>
          </cell>
        </row>
        <row r="3283">
          <cell r="B3283" t="str">
            <v>1280-MYY0001</v>
          </cell>
          <cell r="C3283" t="str">
            <v>M45</v>
          </cell>
        </row>
        <row r="3284">
          <cell r="B3284" t="str">
            <v>1294-MYY0001</v>
          </cell>
          <cell r="C3284" t="str">
            <v>M45</v>
          </cell>
        </row>
        <row r="3285">
          <cell r="B3285" t="str">
            <v>1301-MYY0019</v>
          </cell>
          <cell r="C3285" t="str">
            <v>M45</v>
          </cell>
        </row>
        <row r="3286">
          <cell r="B3286" t="str">
            <v>1301-MYY0020</v>
          </cell>
          <cell r="C3286" t="str">
            <v>M45</v>
          </cell>
        </row>
        <row r="3287">
          <cell r="B3287" t="str">
            <v>1301MSD0001</v>
          </cell>
          <cell r="C3287" t="str">
            <v>M45</v>
          </cell>
        </row>
        <row r="3288">
          <cell r="B3288" t="str">
            <v>1318-9020001</v>
          </cell>
          <cell r="C3288" t="str">
            <v>M45</v>
          </cell>
        </row>
        <row r="3289">
          <cell r="B3289" t="str">
            <v>1321-MYY0001</v>
          </cell>
          <cell r="C3289" t="str">
            <v>M45</v>
          </cell>
        </row>
        <row r="3290">
          <cell r="B3290" t="str">
            <v>1341-8030001</v>
          </cell>
          <cell r="C3290" t="str">
            <v>M45</v>
          </cell>
        </row>
        <row r="3291">
          <cell r="B3291" t="str">
            <v>1341-8030002</v>
          </cell>
          <cell r="C3291" t="str">
            <v>M45</v>
          </cell>
        </row>
        <row r="3292">
          <cell r="B3292" t="str">
            <v>1341-8030006</v>
          </cell>
          <cell r="C3292" t="str">
            <v>M45</v>
          </cell>
        </row>
        <row r="3293">
          <cell r="B3293" t="str">
            <v>1341-MYY0001</v>
          </cell>
          <cell r="C3293" t="str">
            <v>M45</v>
          </cell>
        </row>
        <row r="3294">
          <cell r="B3294" t="str">
            <v>1341-MYY0002</v>
          </cell>
          <cell r="C3294" t="str">
            <v>M45</v>
          </cell>
        </row>
        <row r="3295">
          <cell r="B3295" t="str">
            <v>1341-MYY0003</v>
          </cell>
          <cell r="C3295" t="str">
            <v>M45</v>
          </cell>
        </row>
        <row r="3296">
          <cell r="B3296" t="str">
            <v>1342-MYY0001</v>
          </cell>
          <cell r="C3296" t="str">
            <v>M45</v>
          </cell>
        </row>
        <row r="3297">
          <cell r="B3297" t="str">
            <v>1342-MYY0002</v>
          </cell>
          <cell r="C3297" t="str">
            <v>M45</v>
          </cell>
        </row>
        <row r="3298">
          <cell r="B3298" t="str">
            <v>1342-MYY0007</v>
          </cell>
          <cell r="C3298" t="str">
            <v>M45</v>
          </cell>
        </row>
        <row r="3299">
          <cell r="B3299" t="str">
            <v>1346-8YY0007EN</v>
          </cell>
          <cell r="C3299" t="str">
            <v>M45</v>
          </cell>
        </row>
        <row r="3300">
          <cell r="B3300" t="str">
            <v>1346-9020001</v>
          </cell>
          <cell r="C3300" t="str">
            <v>M45</v>
          </cell>
        </row>
        <row r="3301">
          <cell r="B3301" t="str">
            <v>1346-MYY0001</v>
          </cell>
          <cell r="C3301" t="str">
            <v>M45</v>
          </cell>
        </row>
        <row r="3302">
          <cell r="B3302" t="str">
            <v>1346-MYY0002</v>
          </cell>
          <cell r="C3302" t="str">
            <v>M45</v>
          </cell>
        </row>
        <row r="3303">
          <cell r="B3303" t="str">
            <v>1346-MYY0003</v>
          </cell>
          <cell r="C3303" t="str">
            <v>M45</v>
          </cell>
        </row>
        <row r="3304">
          <cell r="B3304" t="str">
            <v>1348-MYY0001</v>
          </cell>
          <cell r="C3304" t="str">
            <v>M45</v>
          </cell>
        </row>
        <row r="3305">
          <cell r="B3305" t="str">
            <v>1348-MYY0002</v>
          </cell>
          <cell r="C3305" t="str">
            <v>M45</v>
          </cell>
        </row>
        <row r="3306">
          <cell r="B3306" t="str">
            <v>1396MSD0001</v>
          </cell>
          <cell r="C3306" t="str">
            <v>M45</v>
          </cell>
        </row>
        <row r="3307">
          <cell r="B3307" t="str">
            <v>1397-MYY0001</v>
          </cell>
          <cell r="C3307" t="str">
            <v>M45</v>
          </cell>
        </row>
        <row r="3308">
          <cell r="B3308" t="str">
            <v>1397-MYY0002</v>
          </cell>
          <cell r="C3308" t="str">
            <v>M45</v>
          </cell>
        </row>
        <row r="3309">
          <cell r="B3309" t="str">
            <v>1414-8YY0004</v>
          </cell>
          <cell r="C3309" t="str">
            <v>M45</v>
          </cell>
        </row>
        <row r="3310">
          <cell r="B3310" t="str">
            <v>1414-MYY0025</v>
          </cell>
          <cell r="C3310" t="str">
            <v>M45</v>
          </cell>
        </row>
        <row r="3311">
          <cell r="B3311" t="str">
            <v>1414-MYY0026</v>
          </cell>
          <cell r="C3311" t="str">
            <v>M45</v>
          </cell>
        </row>
        <row r="3312">
          <cell r="B3312" t="str">
            <v>1414MSD0001</v>
          </cell>
          <cell r="C3312" t="str">
            <v>M45</v>
          </cell>
        </row>
        <row r="3313">
          <cell r="B3313" t="str">
            <v>1414MSD0002</v>
          </cell>
          <cell r="C3313" t="str">
            <v>M45</v>
          </cell>
        </row>
        <row r="3314">
          <cell r="B3314" t="str">
            <v>1431-9020001</v>
          </cell>
          <cell r="C3314" t="str">
            <v>M45</v>
          </cell>
        </row>
        <row r="3315">
          <cell r="B3315" t="str">
            <v>1446-9020001</v>
          </cell>
          <cell r="C3315" t="str">
            <v>M45</v>
          </cell>
        </row>
        <row r="3316">
          <cell r="B3316" t="str">
            <v>1458-8YY0017EN</v>
          </cell>
          <cell r="C3316" t="str">
            <v>M45</v>
          </cell>
        </row>
        <row r="3317">
          <cell r="B3317" t="str">
            <v>1458-8YY0018EN</v>
          </cell>
          <cell r="C3317" t="str">
            <v>M45</v>
          </cell>
        </row>
        <row r="3318">
          <cell r="B3318" t="str">
            <v>1459-8YY0066EN</v>
          </cell>
          <cell r="C3318" t="str">
            <v>M45</v>
          </cell>
        </row>
        <row r="3319">
          <cell r="B3319" t="str">
            <v>1459-8YY0068EN</v>
          </cell>
          <cell r="C3319" t="str">
            <v>M45</v>
          </cell>
        </row>
        <row r="3320">
          <cell r="B3320" t="str">
            <v>1502-MYY0004</v>
          </cell>
          <cell r="C3320" t="str">
            <v>M45</v>
          </cell>
        </row>
        <row r="3321">
          <cell r="B3321" t="str">
            <v>1504MSD0001</v>
          </cell>
          <cell r="C3321" t="str">
            <v>M45</v>
          </cell>
        </row>
        <row r="3322">
          <cell r="B3322" t="str">
            <v>153086-001</v>
          </cell>
          <cell r="C3322" t="str">
            <v>M45</v>
          </cell>
        </row>
        <row r="3323">
          <cell r="B3323" t="str">
            <v>1532MSD0001</v>
          </cell>
          <cell r="C3323" t="str">
            <v>M45</v>
          </cell>
        </row>
        <row r="3324">
          <cell r="B3324" t="str">
            <v>1533-MYY0005</v>
          </cell>
          <cell r="C3324" t="str">
            <v>M45</v>
          </cell>
        </row>
        <row r="3325">
          <cell r="B3325" t="str">
            <v>153396-001</v>
          </cell>
          <cell r="C3325" t="str">
            <v>M45</v>
          </cell>
        </row>
        <row r="3326">
          <cell r="B3326" t="str">
            <v>1533MSD0001</v>
          </cell>
          <cell r="C3326" t="str">
            <v>M45</v>
          </cell>
        </row>
        <row r="3327">
          <cell r="B3327" t="str">
            <v>1536-MYY0001</v>
          </cell>
          <cell r="C3327" t="str">
            <v>M45</v>
          </cell>
        </row>
        <row r="3328">
          <cell r="B3328" t="str">
            <v>1539-8BB0002</v>
          </cell>
          <cell r="C3328" t="str">
            <v>M45</v>
          </cell>
        </row>
        <row r="3329">
          <cell r="B3329" t="str">
            <v>1540-9020001</v>
          </cell>
          <cell r="C3329" t="str">
            <v>M45</v>
          </cell>
        </row>
        <row r="3330">
          <cell r="B3330" t="str">
            <v>1541MSD0001</v>
          </cell>
          <cell r="C3330" t="str">
            <v>M45</v>
          </cell>
        </row>
        <row r="3331">
          <cell r="B3331" t="str">
            <v>1545-MYY0001</v>
          </cell>
          <cell r="C3331" t="str">
            <v>M45</v>
          </cell>
        </row>
        <row r="3332">
          <cell r="B3332" t="str">
            <v>1560-9020001</v>
          </cell>
          <cell r="C3332" t="str">
            <v>M45</v>
          </cell>
        </row>
        <row r="3333">
          <cell r="B3333" t="str">
            <v>1560-MYY0002</v>
          </cell>
          <cell r="C3333" t="str">
            <v>M45</v>
          </cell>
        </row>
        <row r="3334">
          <cell r="B3334" t="str">
            <v>1560-MYY0003</v>
          </cell>
          <cell r="C3334" t="str">
            <v>M45</v>
          </cell>
        </row>
        <row r="3335">
          <cell r="B3335" t="str">
            <v>1572MSD0001</v>
          </cell>
          <cell r="C3335" t="str">
            <v>M45</v>
          </cell>
        </row>
        <row r="3336">
          <cell r="B3336" t="str">
            <v>1621-MYY0005</v>
          </cell>
          <cell r="C3336" t="str">
            <v>M45</v>
          </cell>
        </row>
        <row r="3337">
          <cell r="B3337">
            <v>85120001.010000005</v>
          </cell>
          <cell r="C3337" t="str">
            <v>M45</v>
          </cell>
        </row>
        <row r="3338">
          <cell r="B3338" t="str">
            <v>A-47114-028</v>
          </cell>
          <cell r="C3338" t="str">
            <v>M45</v>
          </cell>
        </row>
        <row r="3339">
          <cell r="B3339" t="str">
            <v>A-47373-024</v>
          </cell>
          <cell r="C3339" t="str">
            <v>M45</v>
          </cell>
        </row>
        <row r="3340">
          <cell r="B3340" t="str">
            <v>A-47373-026</v>
          </cell>
          <cell r="C3340" t="str">
            <v>M45</v>
          </cell>
        </row>
        <row r="3341">
          <cell r="B3341" t="str">
            <v>A-47373-028</v>
          </cell>
          <cell r="C3341" t="str">
            <v>M45</v>
          </cell>
        </row>
        <row r="3342">
          <cell r="B3342" t="str">
            <v>A-47373-029</v>
          </cell>
          <cell r="C3342" t="str">
            <v>M45</v>
          </cell>
        </row>
        <row r="3343">
          <cell r="B3343" t="str">
            <v>A-47373-033</v>
          </cell>
          <cell r="C3343" t="str">
            <v>M45</v>
          </cell>
        </row>
        <row r="3344">
          <cell r="B3344" t="str">
            <v>A-47373-055</v>
          </cell>
          <cell r="C3344" t="str">
            <v>M45</v>
          </cell>
        </row>
        <row r="3345">
          <cell r="B3345" t="str">
            <v>CPPKPW013-1</v>
          </cell>
          <cell r="C3345" t="str">
            <v>M45</v>
          </cell>
        </row>
        <row r="3346">
          <cell r="B3346" t="str">
            <v>RMTPPP002X635</v>
          </cell>
          <cell r="C3346" t="str">
            <v>M45</v>
          </cell>
        </row>
        <row r="3347">
          <cell r="B3347" t="str">
            <v>0059-V040320EN</v>
          </cell>
          <cell r="C3347" t="str">
            <v>M45</v>
          </cell>
        </row>
        <row r="3348">
          <cell r="B3348" t="str">
            <v>0059-V040400EN</v>
          </cell>
          <cell r="C3348" t="str">
            <v>M45</v>
          </cell>
        </row>
        <row r="3349">
          <cell r="B3349" t="str">
            <v>0060-G600320EN</v>
          </cell>
          <cell r="C3349" t="str">
            <v>M45</v>
          </cell>
        </row>
        <row r="3350">
          <cell r="B3350" t="str">
            <v>0060-G600574EN</v>
          </cell>
          <cell r="C3350" t="str">
            <v>M45</v>
          </cell>
        </row>
        <row r="3351">
          <cell r="B3351" t="str">
            <v>0060-G680340EN</v>
          </cell>
          <cell r="C3351" t="str">
            <v>M45</v>
          </cell>
        </row>
        <row r="3352">
          <cell r="B3352" t="str">
            <v>0060-M140950</v>
          </cell>
          <cell r="C3352" t="str">
            <v>M45</v>
          </cell>
        </row>
        <row r="3353">
          <cell r="B3353" t="str">
            <v>0060-M141020</v>
          </cell>
          <cell r="C3353" t="str">
            <v>M45</v>
          </cell>
        </row>
        <row r="3354">
          <cell r="B3354" t="str">
            <v>0060-X380360</v>
          </cell>
          <cell r="C3354" t="str">
            <v>M45</v>
          </cell>
        </row>
        <row r="3355">
          <cell r="B3355" t="str">
            <v>0061-V210018-BEN</v>
          </cell>
          <cell r="C3355" t="str">
            <v>M45</v>
          </cell>
        </row>
        <row r="3356">
          <cell r="B3356" t="str">
            <v>0061-V210018-LEN</v>
          </cell>
          <cell r="C3356" t="str">
            <v>M45</v>
          </cell>
        </row>
        <row r="3357">
          <cell r="B3357" t="str">
            <v>0061-V210018-NEN</v>
          </cell>
          <cell r="C3357" t="str">
            <v>M45</v>
          </cell>
        </row>
        <row r="3358">
          <cell r="B3358" t="str">
            <v>0062-1000065-1</v>
          </cell>
          <cell r="C3358" t="str">
            <v>M45</v>
          </cell>
        </row>
        <row r="3359">
          <cell r="B3359" t="str">
            <v>0062-1000080-6</v>
          </cell>
          <cell r="C3359" t="str">
            <v>M45</v>
          </cell>
        </row>
        <row r="3360">
          <cell r="B3360" t="str">
            <v>0062-1030300</v>
          </cell>
          <cell r="C3360" t="str">
            <v>M45</v>
          </cell>
        </row>
        <row r="3361">
          <cell r="B3361" t="str">
            <v>0062-G070080EN</v>
          </cell>
          <cell r="C3361" t="str">
            <v>M45</v>
          </cell>
        </row>
        <row r="3362">
          <cell r="B3362" t="str">
            <v>0070-1250001</v>
          </cell>
          <cell r="C3362" t="str">
            <v>M45</v>
          </cell>
        </row>
        <row r="3363">
          <cell r="B3363" t="str">
            <v>0073-804C058-A207</v>
          </cell>
          <cell r="C3363" t="str">
            <v>M45</v>
          </cell>
        </row>
        <row r="3364">
          <cell r="B3364" t="str">
            <v>0073-V05A295EN</v>
          </cell>
          <cell r="C3364" t="str">
            <v>M45</v>
          </cell>
        </row>
        <row r="3365">
          <cell r="B3365" t="str">
            <v>0073-V23A295</v>
          </cell>
          <cell r="C3365" t="str">
            <v>M45</v>
          </cell>
        </row>
        <row r="3366">
          <cell r="B3366" t="str">
            <v>0073-V30C139-A295</v>
          </cell>
          <cell r="C3366" t="str">
            <v>M45</v>
          </cell>
        </row>
        <row r="3367">
          <cell r="B3367" t="str">
            <v>0081-1000093</v>
          </cell>
          <cell r="C3367" t="str">
            <v>M45</v>
          </cell>
        </row>
        <row r="3368">
          <cell r="B3368" t="str">
            <v>0081-1000095</v>
          </cell>
          <cell r="C3368" t="str">
            <v>M45</v>
          </cell>
        </row>
        <row r="3369">
          <cell r="B3369" t="str">
            <v>0081-1010033</v>
          </cell>
          <cell r="C3369" t="str">
            <v>M45</v>
          </cell>
        </row>
        <row r="3370">
          <cell r="B3370" t="str">
            <v>0082-1000050</v>
          </cell>
          <cell r="C3370" t="str">
            <v>M45</v>
          </cell>
        </row>
        <row r="3371">
          <cell r="B3371" t="str">
            <v>0083-1000015</v>
          </cell>
          <cell r="C3371" t="str">
            <v>M45</v>
          </cell>
        </row>
        <row r="3372">
          <cell r="B3372" t="str">
            <v>0081-9010001</v>
          </cell>
          <cell r="C3372" t="str">
            <v>M45</v>
          </cell>
        </row>
        <row r="3373">
          <cell r="B3373" t="str">
            <v>0088-9000078</v>
          </cell>
          <cell r="C3373" t="str">
            <v>M45</v>
          </cell>
        </row>
        <row r="3374">
          <cell r="B3374" t="str">
            <v>0089-G000004</v>
          </cell>
          <cell r="C3374" t="str">
            <v>M45</v>
          </cell>
        </row>
        <row r="3375">
          <cell r="B3375" t="str">
            <v>1100-10C0110</v>
          </cell>
          <cell r="C3375" t="str">
            <v>M45</v>
          </cell>
        </row>
        <row r="3376">
          <cell r="B3376" t="str">
            <v>1100-10C0111</v>
          </cell>
          <cell r="C3376" t="str">
            <v>M45</v>
          </cell>
        </row>
        <row r="3377">
          <cell r="B3377" t="str">
            <v>1100-10C0112</v>
          </cell>
          <cell r="C3377" t="str">
            <v>M45</v>
          </cell>
        </row>
        <row r="3378">
          <cell r="B3378" t="str">
            <v>1100-10C0114</v>
          </cell>
          <cell r="C3378" t="str">
            <v>M45</v>
          </cell>
        </row>
        <row r="3379">
          <cell r="B3379" t="str">
            <v>1100-12B0007EN</v>
          </cell>
          <cell r="C3379" t="str">
            <v>M45</v>
          </cell>
        </row>
        <row r="3380">
          <cell r="B3380" t="str">
            <v>1100-12B0008EN</v>
          </cell>
          <cell r="C3380" t="str">
            <v>M45</v>
          </cell>
        </row>
        <row r="3381">
          <cell r="B3381" t="str">
            <v>1100-1E30006</v>
          </cell>
          <cell r="C3381" t="str">
            <v>M45</v>
          </cell>
        </row>
        <row r="3382">
          <cell r="B3382" t="str">
            <v>1100-1E30008</v>
          </cell>
          <cell r="C3382" t="str">
            <v>M45</v>
          </cell>
        </row>
        <row r="3383">
          <cell r="B3383" t="str">
            <v>1101-10C0231EN</v>
          </cell>
          <cell r="C3383" t="str">
            <v>M45</v>
          </cell>
        </row>
        <row r="3384">
          <cell r="B3384" t="str">
            <v>1101-10C0244EN</v>
          </cell>
          <cell r="C3384" t="str">
            <v>M45</v>
          </cell>
        </row>
        <row r="3385">
          <cell r="B3385" t="str">
            <v>1101-5YY0299EN</v>
          </cell>
          <cell r="C3385" t="str">
            <v>M45</v>
          </cell>
        </row>
        <row r="3386">
          <cell r="B3386" t="str">
            <v>1101-V0C0107EN</v>
          </cell>
          <cell r="C3386" t="str">
            <v>M45</v>
          </cell>
        </row>
        <row r="3387">
          <cell r="B3387" t="str">
            <v>1101-V0C0204EN</v>
          </cell>
          <cell r="C3387" t="str">
            <v>M45</v>
          </cell>
        </row>
        <row r="3388">
          <cell r="B3388" t="str">
            <v>1110-10C0025EN</v>
          </cell>
          <cell r="C3388" t="str">
            <v>M45</v>
          </cell>
        </row>
        <row r="3389">
          <cell r="B3389" t="str">
            <v>1110-10C0028</v>
          </cell>
          <cell r="C3389" t="str">
            <v>M45</v>
          </cell>
        </row>
        <row r="3390">
          <cell r="B3390" t="str">
            <v>1110-10C0029</v>
          </cell>
          <cell r="C3390" t="str">
            <v>M45</v>
          </cell>
        </row>
        <row r="3391">
          <cell r="B3391" t="str">
            <v>1110-10C0036EN</v>
          </cell>
          <cell r="C3391" t="str">
            <v>M45</v>
          </cell>
        </row>
        <row r="3392">
          <cell r="B3392" t="str">
            <v>1110-10C0058EN</v>
          </cell>
          <cell r="C3392" t="str">
            <v>M45</v>
          </cell>
        </row>
        <row r="3393">
          <cell r="B3393" t="str">
            <v>1110-12B0004EN</v>
          </cell>
          <cell r="C3393" t="str">
            <v>M45</v>
          </cell>
        </row>
        <row r="3394">
          <cell r="B3394" t="str">
            <v>1132-5YY0029EN</v>
          </cell>
          <cell r="C3394" t="str">
            <v>M45</v>
          </cell>
        </row>
        <row r="3395">
          <cell r="B3395" t="str">
            <v>1140-5YY0004EN</v>
          </cell>
          <cell r="C3395" t="str">
            <v>M45</v>
          </cell>
        </row>
        <row r="3396">
          <cell r="B3396" t="str">
            <v>1163-12B0002EN</v>
          </cell>
          <cell r="C3396" t="str">
            <v>M45</v>
          </cell>
        </row>
        <row r="3397">
          <cell r="B3397" t="str">
            <v>1163-12B0002EN0093</v>
          </cell>
          <cell r="C3397" t="str">
            <v>M45</v>
          </cell>
        </row>
        <row r="3398">
          <cell r="B3398" t="str">
            <v>1163-MYY0001</v>
          </cell>
          <cell r="C3398" t="str">
            <v>M45</v>
          </cell>
        </row>
        <row r="3399">
          <cell r="B3399" t="str">
            <v>1163-MYY0002</v>
          </cell>
          <cell r="C3399" t="str">
            <v>M45</v>
          </cell>
        </row>
        <row r="3400">
          <cell r="B3400" t="str">
            <v>1164-12B0011EN</v>
          </cell>
          <cell r="C3400" t="str">
            <v>M45</v>
          </cell>
        </row>
        <row r="3401">
          <cell r="B3401" t="str">
            <v>1201-12B0002EN</v>
          </cell>
          <cell r="C3401" t="str">
            <v>M45</v>
          </cell>
        </row>
        <row r="3402">
          <cell r="B3402" t="str">
            <v>1201-9SE0001</v>
          </cell>
          <cell r="C3402" t="str">
            <v>M45</v>
          </cell>
        </row>
        <row r="3403">
          <cell r="B3403" t="str">
            <v>1201-9SE0001EN</v>
          </cell>
          <cell r="C3403" t="str">
            <v>M45</v>
          </cell>
        </row>
        <row r="3404">
          <cell r="B3404" t="str">
            <v>1201-9SE0001EN/VA</v>
          </cell>
          <cell r="C3404" t="str">
            <v>M45</v>
          </cell>
        </row>
        <row r="3405">
          <cell r="B3405" t="str">
            <v>1201-V0C0050EN</v>
          </cell>
          <cell r="C3405" t="str">
            <v>M45</v>
          </cell>
        </row>
        <row r="3406">
          <cell r="B3406" t="str">
            <v>1202-12B0004</v>
          </cell>
          <cell r="C3406" t="str">
            <v>M45</v>
          </cell>
        </row>
        <row r="3407">
          <cell r="B3407" t="str">
            <v>1202-12B0005EN</v>
          </cell>
          <cell r="C3407" t="str">
            <v>M45</v>
          </cell>
        </row>
        <row r="3408">
          <cell r="B3408" t="str">
            <v>1202-V0C0017EN</v>
          </cell>
          <cell r="C3408" t="str">
            <v>M45</v>
          </cell>
        </row>
        <row r="3409">
          <cell r="B3409" t="str">
            <v>1203-5YY0023</v>
          </cell>
          <cell r="C3409" t="str">
            <v>M45</v>
          </cell>
        </row>
        <row r="3410">
          <cell r="B3410" t="str">
            <v>1204-5YY0012</v>
          </cell>
          <cell r="C3410" t="str">
            <v>M45</v>
          </cell>
        </row>
        <row r="3411">
          <cell r="B3411" t="str">
            <v>1204-V0C0008EN</v>
          </cell>
          <cell r="C3411" t="str">
            <v>M45</v>
          </cell>
        </row>
        <row r="3412">
          <cell r="B3412" t="str">
            <v>1205-10C0010EN</v>
          </cell>
          <cell r="C3412" t="str">
            <v>M45</v>
          </cell>
        </row>
        <row r="3413">
          <cell r="B3413" t="str">
            <v>1205-12B0006EN</v>
          </cell>
          <cell r="C3413" t="str">
            <v>M45</v>
          </cell>
        </row>
        <row r="3414">
          <cell r="B3414" t="str">
            <v>1205-12B0011EN</v>
          </cell>
          <cell r="C3414" t="str">
            <v>M45</v>
          </cell>
        </row>
        <row r="3415">
          <cell r="B3415" t="str">
            <v>1205-12B0012EN</v>
          </cell>
          <cell r="C3415" t="str">
            <v>M45</v>
          </cell>
        </row>
        <row r="3416">
          <cell r="B3416" t="str">
            <v>1205-9YY0090-TAEN</v>
          </cell>
          <cell r="C3416" t="str">
            <v>M45</v>
          </cell>
        </row>
        <row r="3417">
          <cell r="B3417" t="str">
            <v>1205-9YY0090EN</v>
          </cell>
          <cell r="C3417" t="str">
            <v>M45</v>
          </cell>
        </row>
        <row r="3418">
          <cell r="B3418" t="str">
            <v>1205-9YY0091-TAEN</v>
          </cell>
          <cell r="C3418" t="str">
            <v>M45</v>
          </cell>
        </row>
        <row r="3419">
          <cell r="B3419" t="str">
            <v>1205-9YY0091EN</v>
          </cell>
          <cell r="C3419" t="str">
            <v>M45</v>
          </cell>
        </row>
        <row r="3420">
          <cell r="B3420" t="str">
            <v>1205-DRB0001</v>
          </cell>
          <cell r="C3420" t="str">
            <v>M45</v>
          </cell>
        </row>
        <row r="3421">
          <cell r="B3421" t="str">
            <v>1205-DRB0001EN</v>
          </cell>
          <cell r="C3421" t="str">
            <v>M45</v>
          </cell>
        </row>
        <row r="3422">
          <cell r="B3422" t="str">
            <v>1205-DRB0001EN/VA</v>
          </cell>
          <cell r="C3422" t="str">
            <v>M45</v>
          </cell>
        </row>
        <row r="3423">
          <cell r="B3423" t="str">
            <v>1205-DRB0002</v>
          </cell>
          <cell r="C3423" t="str">
            <v>M45</v>
          </cell>
        </row>
        <row r="3424">
          <cell r="B3424" t="str">
            <v>1205-DRB0002EN</v>
          </cell>
          <cell r="C3424" t="str">
            <v>M45</v>
          </cell>
        </row>
        <row r="3425">
          <cell r="B3425" t="str">
            <v>1205-DRB0002EN/VA</v>
          </cell>
          <cell r="C3425" t="str">
            <v>M45</v>
          </cell>
        </row>
        <row r="3426">
          <cell r="B3426" t="str">
            <v>1205-DRB0003</v>
          </cell>
          <cell r="C3426" t="str">
            <v>M45</v>
          </cell>
        </row>
        <row r="3427">
          <cell r="B3427" t="str">
            <v>1205-DRB0003EN</v>
          </cell>
          <cell r="C3427" t="str">
            <v>M45</v>
          </cell>
        </row>
        <row r="3428">
          <cell r="B3428" t="str">
            <v>1205-DRB0003EN/VA</v>
          </cell>
          <cell r="C3428" t="str">
            <v>M45</v>
          </cell>
        </row>
        <row r="3429">
          <cell r="B3429" t="str">
            <v>1205-DRB0004</v>
          </cell>
          <cell r="C3429" t="str">
            <v>M45</v>
          </cell>
        </row>
        <row r="3430">
          <cell r="B3430" t="str">
            <v>1205-DRB0004EN</v>
          </cell>
          <cell r="C3430" t="str">
            <v>M45</v>
          </cell>
        </row>
        <row r="3431">
          <cell r="B3431" t="str">
            <v>1205-DRB0004EN/VA</v>
          </cell>
          <cell r="C3431" t="str">
            <v>M45</v>
          </cell>
        </row>
        <row r="3432">
          <cell r="B3432" t="str">
            <v>1205-DRB0005</v>
          </cell>
          <cell r="C3432" t="str">
            <v>M45</v>
          </cell>
        </row>
        <row r="3433">
          <cell r="B3433" t="str">
            <v>1205-DRB0005EN</v>
          </cell>
          <cell r="C3433" t="str">
            <v>M45</v>
          </cell>
        </row>
        <row r="3434">
          <cell r="B3434" t="str">
            <v>1205-DRB0005EN/VA</v>
          </cell>
          <cell r="C3434" t="str">
            <v>M45</v>
          </cell>
        </row>
        <row r="3435">
          <cell r="B3435" t="str">
            <v>1205-DRB0006</v>
          </cell>
          <cell r="C3435" t="str">
            <v>M45</v>
          </cell>
        </row>
        <row r="3436">
          <cell r="B3436" t="str">
            <v>1205-DRB0006EN</v>
          </cell>
          <cell r="C3436" t="str">
            <v>M45</v>
          </cell>
        </row>
        <row r="3437">
          <cell r="B3437" t="str">
            <v>1205-DRB0006EN/VA</v>
          </cell>
          <cell r="C3437" t="str">
            <v>M45</v>
          </cell>
        </row>
        <row r="3438">
          <cell r="B3438" t="str">
            <v>1205-DRB0007</v>
          </cell>
          <cell r="C3438" t="str">
            <v>M45</v>
          </cell>
        </row>
        <row r="3439">
          <cell r="B3439" t="str">
            <v>1205-DRB0007EN</v>
          </cell>
          <cell r="C3439" t="str">
            <v>M45</v>
          </cell>
        </row>
        <row r="3440">
          <cell r="B3440" t="str">
            <v>1205-DRB0007EN/VA</v>
          </cell>
          <cell r="C3440" t="str">
            <v>M45</v>
          </cell>
        </row>
        <row r="3441">
          <cell r="B3441" t="str">
            <v>1205-DRB0008</v>
          </cell>
          <cell r="C3441" t="str">
            <v>M45</v>
          </cell>
        </row>
        <row r="3442">
          <cell r="B3442" t="str">
            <v>1205-DRB0008EN</v>
          </cell>
          <cell r="C3442" t="str">
            <v>M45</v>
          </cell>
        </row>
        <row r="3443">
          <cell r="B3443" t="str">
            <v>1205-DRB0008EN/VA</v>
          </cell>
          <cell r="C3443" t="str">
            <v>M45</v>
          </cell>
        </row>
        <row r="3444">
          <cell r="B3444" t="str">
            <v>1205-DRB0015EN/VA</v>
          </cell>
          <cell r="C3444" t="str">
            <v>M45</v>
          </cell>
        </row>
        <row r="3445">
          <cell r="B3445" t="str">
            <v>1205-DRB0016EN/VA</v>
          </cell>
          <cell r="C3445" t="str">
            <v>M45</v>
          </cell>
        </row>
        <row r="3446">
          <cell r="B3446" t="str">
            <v>1205-DRB0017EN/VA</v>
          </cell>
          <cell r="C3446" t="str">
            <v>M45</v>
          </cell>
        </row>
        <row r="3447">
          <cell r="B3447" t="str">
            <v>1205-DRB0018EN/VA</v>
          </cell>
          <cell r="C3447" t="str">
            <v>M45</v>
          </cell>
        </row>
        <row r="3448">
          <cell r="B3448" t="str">
            <v>1205-DRB0019EN/VA</v>
          </cell>
          <cell r="C3448" t="str">
            <v>M45</v>
          </cell>
        </row>
        <row r="3449">
          <cell r="B3449" t="str">
            <v>1205-DRB0026</v>
          </cell>
          <cell r="C3449" t="str">
            <v>M45</v>
          </cell>
        </row>
        <row r="3450">
          <cell r="B3450" t="str">
            <v>1205-MYY0017</v>
          </cell>
          <cell r="C3450" t="str">
            <v>M45</v>
          </cell>
        </row>
        <row r="3451">
          <cell r="B3451" t="str">
            <v>1205-MYY0018</v>
          </cell>
          <cell r="C3451" t="str">
            <v>M45</v>
          </cell>
        </row>
        <row r="3452">
          <cell r="B3452" t="str">
            <v>1205-MYY0019</v>
          </cell>
          <cell r="C3452" t="str">
            <v>M45</v>
          </cell>
        </row>
        <row r="3453">
          <cell r="B3453" t="str">
            <v>1205-V0C0008EN</v>
          </cell>
          <cell r="C3453" t="str">
            <v>M45</v>
          </cell>
        </row>
        <row r="3454">
          <cell r="B3454" t="str">
            <v>1209-5YY0205-T2EN</v>
          </cell>
          <cell r="C3454" t="str">
            <v>M45</v>
          </cell>
        </row>
        <row r="3455">
          <cell r="B3455" t="str">
            <v>1209-9YY0018</v>
          </cell>
          <cell r="C3455" t="str">
            <v>M45</v>
          </cell>
        </row>
        <row r="3456">
          <cell r="B3456" t="str">
            <v>1209-9YY0019</v>
          </cell>
          <cell r="C3456" t="str">
            <v>M45</v>
          </cell>
        </row>
        <row r="3457">
          <cell r="B3457" t="str">
            <v>1209-9YY0020</v>
          </cell>
          <cell r="C3457" t="str">
            <v>M45</v>
          </cell>
        </row>
        <row r="3458">
          <cell r="B3458" t="str">
            <v>1209-DRB0001EN</v>
          </cell>
          <cell r="C3458" t="str">
            <v>M45</v>
          </cell>
        </row>
        <row r="3459">
          <cell r="B3459" t="str">
            <v>1209-DRB0002</v>
          </cell>
          <cell r="C3459" t="str">
            <v>M45</v>
          </cell>
        </row>
        <row r="3460">
          <cell r="B3460" t="str">
            <v>1209-DRB0002EN</v>
          </cell>
          <cell r="C3460" t="str">
            <v>M45</v>
          </cell>
        </row>
        <row r="3461">
          <cell r="B3461" t="str">
            <v>1209-DRB0002EN/VA</v>
          </cell>
          <cell r="C3461" t="str">
            <v>M45</v>
          </cell>
        </row>
        <row r="3462">
          <cell r="B3462" t="str">
            <v>1209-DRB0003</v>
          </cell>
          <cell r="C3462" t="str">
            <v>M45</v>
          </cell>
        </row>
        <row r="3463">
          <cell r="B3463" t="str">
            <v>1209-DRB0003EN</v>
          </cell>
          <cell r="C3463" t="str">
            <v>M45</v>
          </cell>
        </row>
        <row r="3464">
          <cell r="B3464" t="str">
            <v>1209-DRB0003EN/VA</v>
          </cell>
          <cell r="C3464" t="str">
            <v>M45</v>
          </cell>
        </row>
        <row r="3465">
          <cell r="B3465" t="str">
            <v>1209-DRB0006</v>
          </cell>
          <cell r="C3465" t="str">
            <v>M45</v>
          </cell>
        </row>
        <row r="3466">
          <cell r="B3466" t="str">
            <v>1209-DRB0011</v>
          </cell>
          <cell r="C3466" t="str">
            <v>M45</v>
          </cell>
        </row>
        <row r="3467">
          <cell r="B3467" t="str">
            <v>1209-DRB0014</v>
          </cell>
          <cell r="C3467" t="str">
            <v>M45</v>
          </cell>
        </row>
        <row r="3468">
          <cell r="B3468" t="str">
            <v>1209-DRB0014/MX</v>
          </cell>
          <cell r="C3468" t="str">
            <v>M45</v>
          </cell>
        </row>
        <row r="3469">
          <cell r="B3469" t="str">
            <v>1209-DRB0015</v>
          </cell>
          <cell r="C3469" t="str">
            <v>M45</v>
          </cell>
        </row>
        <row r="3470">
          <cell r="B3470" t="str">
            <v>1209-DRB0015/MX</v>
          </cell>
          <cell r="C3470" t="str">
            <v>M45</v>
          </cell>
        </row>
        <row r="3471">
          <cell r="B3471" t="str">
            <v>1209-DRB0021EN</v>
          </cell>
          <cell r="C3471" t="str">
            <v>M45</v>
          </cell>
        </row>
        <row r="3472">
          <cell r="B3472" t="str">
            <v>1209-DRB0022/MX</v>
          </cell>
          <cell r="C3472" t="str">
            <v>M45</v>
          </cell>
        </row>
        <row r="3473">
          <cell r="B3473" t="str">
            <v>1209-DRB0023/MX</v>
          </cell>
          <cell r="C3473" t="str">
            <v>M45</v>
          </cell>
        </row>
        <row r="3474">
          <cell r="B3474" t="str">
            <v>1209-MYY0004</v>
          </cell>
          <cell r="C3474" t="str">
            <v>M45</v>
          </cell>
        </row>
        <row r="3475">
          <cell r="B3475" t="str">
            <v>1209-MYY0005</v>
          </cell>
          <cell r="C3475" t="str">
            <v>M45</v>
          </cell>
        </row>
        <row r="3476">
          <cell r="B3476" t="str">
            <v>1209-MYY0006</v>
          </cell>
          <cell r="C3476" t="str">
            <v>M45</v>
          </cell>
        </row>
        <row r="3477">
          <cell r="B3477" t="str">
            <v>1209-MYY0007</v>
          </cell>
          <cell r="C3477" t="str">
            <v>M45</v>
          </cell>
        </row>
        <row r="3478">
          <cell r="B3478" t="str">
            <v>1209-MYY0008</v>
          </cell>
          <cell r="C3478" t="str">
            <v>M45</v>
          </cell>
        </row>
        <row r="3479">
          <cell r="B3479" t="str">
            <v>1209-MYY0009</v>
          </cell>
          <cell r="C3479" t="str">
            <v>M45</v>
          </cell>
        </row>
        <row r="3480">
          <cell r="B3480" t="str">
            <v>1209-MYY0010</v>
          </cell>
          <cell r="C3480" t="str">
            <v>M45</v>
          </cell>
        </row>
        <row r="3481">
          <cell r="B3481" t="str">
            <v>1209-V1R0004</v>
          </cell>
          <cell r="C3481" t="str">
            <v>M45</v>
          </cell>
        </row>
        <row r="3482">
          <cell r="B3482" t="str">
            <v>1210-10C0133EN</v>
          </cell>
          <cell r="C3482" t="str">
            <v>M45</v>
          </cell>
        </row>
        <row r="3483">
          <cell r="B3483" t="str">
            <v>1210-10C0166</v>
          </cell>
          <cell r="C3483" t="str">
            <v>M45</v>
          </cell>
        </row>
        <row r="3484">
          <cell r="B3484" t="str">
            <v>1210-10C0167</v>
          </cell>
          <cell r="C3484" t="str">
            <v>M45</v>
          </cell>
        </row>
        <row r="3485">
          <cell r="B3485" t="str">
            <v>1220-DRB0001</v>
          </cell>
          <cell r="C3485" t="str">
            <v>M45</v>
          </cell>
        </row>
        <row r="3486">
          <cell r="B3486" t="str">
            <v>1220-DRB0002</v>
          </cell>
          <cell r="C3486" t="str">
            <v>M45</v>
          </cell>
        </row>
        <row r="3487">
          <cell r="B3487" t="str">
            <v>1220-DRB0003</v>
          </cell>
          <cell r="C3487" t="str">
            <v>M45</v>
          </cell>
        </row>
        <row r="3488">
          <cell r="B3488" t="str">
            <v>1220-DRB0004</v>
          </cell>
          <cell r="C3488" t="str">
            <v>M45</v>
          </cell>
        </row>
        <row r="3489">
          <cell r="B3489" t="str">
            <v>1220-DRB0007</v>
          </cell>
          <cell r="C3489" t="str">
            <v>M45</v>
          </cell>
        </row>
        <row r="3490">
          <cell r="B3490" t="str">
            <v>1220-DRB0008</v>
          </cell>
          <cell r="C3490" t="str">
            <v>M45</v>
          </cell>
        </row>
        <row r="3491">
          <cell r="B3491" t="str">
            <v>1220-DRB0009</v>
          </cell>
          <cell r="C3491" t="str">
            <v>M45</v>
          </cell>
        </row>
        <row r="3492">
          <cell r="B3492" t="str">
            <v>1220-DRB0010</v>
          </cell>
          <cell r="C3492" t="str">
            <v>M45</v>
          </cell>
        </row>
        <row r="3493">
          <cell r="B3493" t="str">
            <v>1220-DRB0011</v>
          </cell>
          <cell r="C3493" t="str">
            <v>M45</v>
          </cell>
        </row>
        <row r="3494">
          <cell r="B3494" t="str">
            <v>1220-DRB0013</v>
          </cell>
          <cell r="C3494" t="str">
            <v>M45</v>
          </cell>
        </row>
        <row r="3495">
          <cell r="B3495" t="str">
            <v>1220-DRB0014</v>
          </cell>
          <cell r="C3495" t="str">
            <v>M45</v>
          </cell>
        </row>
        <row r="3496">
          <cell r="B3496" t="str">
            <v>1220-DRB0015/MX</v>
          </cell>
          <cell r="C3496" t="str">
            <v>M45</v>
          </cell>
        </row>
        <row r="3497">
          <cell r="B3497" t="str">
            <v>1220-DRB0016/MX</v>
          </cell>
          <cell r="C3497" t="str">
            <v>M45</v>
          </cell>
        </row>
        <row r="3498">
          <cell r="B3498" t="str">
            <v>1220-DRB0017/MX</v>
          </cell>
          <cell r="C3498" t="str">
            <v>M45</v>
          </cell>
        </row>
        <row r="3499">
          <cell r="B3499" t="str">
            <v>1220-DRB0018/MX</v>
          </cell>
          <cell r="C3499" t="str">
            <v>M45</v>
          </cell>
        </row>
        <row r="3500">
          <cell r="B3500" t="str">
            <v>1220-DRB0019/MX</v>
          </cell>
          <cell r="C3500" t="str">
            <v>M45</v>
          </cell>
        </row>
        <row r="3501">
          <cell r="B3501" t="str">
            <v>1220-DRB0020/MX</v>
          </cell>
          <cell r="C3501" t="str">
            <v>M45</v>
          </cell>
        </row>
        <row r="3502">
          <cell r="B3502" t="str">
            <v>1220-DRB0021/MX</v>
          </cell>
          <cell r="C3502" t="str">
            <v>M45</v>
          </cell>
        </row>
        <row r="3503">
          <cell r="B3503" t="str">
            <v>1220-DRB0022/MX</v>
          </cell>
          <cell r="C3503" t="str">
            <v>M45</v>
          </cell>
        </row>
        <row r="3504">
          <cell r="B3504" t="str">
            <v>1220-DRB0023/MX</v>
          </cell>
          <cell r="C3504" t="str">
            <v>M45</v>
          </cell>
        </row>
        <row r="3505">
          <cell r="B3505" t="str">
            <v>1220-DRB0024/MX</v>
          </cell>
          <cell r="C3505" t="str">
            <v>M45</v>
          </cell>
        </row>
        <row r="3506">
          <cell r="B3506" t="str">
            <v>1220-DRB0025/MX</v>
          </cell>
          <cell r="C3506" t="str">
            <v>M45</v>
          </cell>
        </row>
        <row r="3507">
          <cell r="B3507" t="str">
            <v>1254-DRB0001</v>
          </cell>
          <cell r="C3507" t="str">
            <v>M45</v>
          </cell>
        </row>
        <row r="3508">
          <cell r="B3508" t="str">
            <v>1263-DRB0001</v>
          </cell>
          <cell r="C3508" t="str">
            <v>M45</v>
          </cell>
        </row>
        <row r="3509">
          <cell r="B3509" t="str">
            <v>1263-DRB0002</v>
          </cell>
          <cell r="C3509" t="str">
            <v>M45</v>
          </cell>
        </row>
        <row r="3510">
          <cell r="B3510" t="str">
            <v>1267-5YY0040</v>
          </cell>
          <cell r="C3510" t="str">
            <v>M45</v>
          </cell>
        </row>
        <row r="3511">
          <cell r="B3511" t="str">
            <v>1275-10C0036EN</v>
          </cell>
          <cell r="C3511" t="str">
            <v>M45</v>
          </cell>
        </row>
        <row r="3512">
          <cell r="B3512" t="str">
            <v>1275-10C0039EN</v>
          </cell>
          <cell r="C3512" t="str">
            <v>M45</v>
          </cell>
        </row>
        <row r="3513">
          <cell r="B3513" t="str">
            <v>1275-10C0040EN</v>
          </cell>
          <cell r="C3513" t="str">
            <v>M45</v>
          </cell>
        </row>
        <row r="3514">
          <cell r="B3514" t="str">
            <v>1275-9SE0001</v>
          </cell>
          <cell r="C3514" t="str">
            <v>M45</v>
          </cell>
        </row>
        <row r="3515">
          <cell r="B3515" t="str">
            <v>1275-9SE0002</v>
          </cell>
          <cell r="C3515" t="str">
            <v>M45</v>
          </cell>
        </row>
        <row r="3516">
          <cell r="B3516" t="str">
            <v>1275-DRB0001-G</v>
          </cell>
          <cell r="C3516" t="str">
            <v>M45</v>
          </cell>
        </row>
        <row r="3517">
          <cell r="B3517" t="str">
            <v>1275-DRB0005-L</v>
          </cell>
          <cell r="C3517" t="str">
            <v>M45</v>
          </cell>
        </row>
        <row r="3518">
          <cell r="B3518" t="str">
            <v>1275-DRB0006-G</v>
          </cell>
          <cell r="C3518" t="str">
            <v>M45</v>
          </cell>
        </row>
        <row r="3519">
          <cell r="B3519" t="str">
            <v>1275-DRB0007-L</v>
          </cell>
          <cell r="C3519" t="str">
            <v>M45</v>
          </cell>
        </row>
        <row r="3520">
          <cell r="B3520" t="str">
            <v>1275-DRB0008-Y</v>
          </cell>
          <cell r="C3520" t="str">
            <v>M45</v>
          </cell>
        </row>
        <row r="3521">
          <cell r="B3521" t="str">
            <v>1275-DRB0009-Y</v>
          </cell>
          <cell r="C3521" t="str">
            <v>M45</v>
          </cell>
        </row>
        <row r="3522">
          <cell r="B3522" t="str">
            <v>1275-DRB0010-R</v>
          </cell>
          <cell r="C3522" t="str">
            <v>M45</v>
          </cell>
        </row>
        <row r="3523">
          <cell r="B3523" t="str">
            <v>1275-V0C0019EN</v>
          </cell>
          <cell r="C3523" t="str">
            <v>M45</v>
          </cell>
        </row>
        <row r="3524">
          <cell r="B3524" t="str">
            <v>1275-V0C0021EN</v>
          </cell>
          <cell r="C3524" t="str">
            <v>M45</v>
          </cell>
        </row>
        <row r="3525">
          <cell r="B3525" t="str">
            <v>1280-9SE0001</v>
          </cell>
          <cell r="C3525" t="str">
            <v>M45</v>
          </cell>
        </row>
        <row r="3526">
          <cell r="B3526" t="str">
            <v>1280-DRB0001</v>
          </cell>
          <cell r="C3526" t="str">
            <v>M45</v>
          </cell>
        </row>
        <row r="3527">
          <cell r="B3527" t="str">
            <v>1288-10C0042</v>
          </cell>
          <cell r="C3527" t="str">
            <v>M45</v>
          </cell>
        </row>
        <row r="3528">
          <cell r="B3528" t="str">
            <v>1288-10C0043</v>
          </cell>
          <cell r="C3528" t="str">
            <v>M45</v>
          </cell>
        </row>
        <row r="3529">
          <cell r="B3529" t="str">
            <v>1288-10C0044</v>
          </cell>
          <cell r="C3529" t="str">
            <v>M45</v>
          </cell>
        </row>
        <row r="3530">
          <cell r="B3530" t="str">
            <v>1288-10C0045</v>
          </cell>
          <cell r="C3530" t="str">
            <v>M45</v>
          </cell>
        </row>
        <row r="3531">
          <cell r="B3531" t="str">
            <v>1288-10C0046</v>
          </cell>
          <cell r="C3531" t="str">
            <v>M45</v>
          </cell>
        </row>
        <row r="3532">
          <cell r="B3532" t="str">
            <v>1288-10C0047</v>
          </cell>
          <cell r="C3532" t="str">
            <v>M45</v>
          </cell>
        </row>
        <row r="3533">
          <cell r="B3533" t="str">
            <v>1288-V0C0042</v>
          </cell>
          <cell r="C3533" t="str">
            <v>M45</v>
          </cell>
        </row>
        <row r="3534">
          <cell r="B3534" t="str">
            <v>1288-V0C0043</v>
          </cell>
          <cell r="C3534" t="str">
            <v>M45</v>
          </cell>
        </row>
        <row r="3535">
          <cell r="B3535" t="str">
            <v>1299-5YY0081</v>
          </cell>
          <cell r="C3535" t="str">
            <v>M45</v>
          </cell>
        </row>
        <row r="3536">
          <cell r="B3536" t="str">
            <v>1299-5YY0084</v>
          </cell>
          <cell r="C3536" t="str">
            <v>M45</v>
          </cell>
        </row>
        <row r="3537">
          <cell r="B3537" t="str">
            <v>1300-10C0127</v>
          </cell>
          <cell r="C3537" t="str">
            <v>M45</v>
          </cell>
        </row>
        <row r="3538">
          <cell r="B3538" t="str">
            <v>1300-10C0128</v>
          </cell>
          <cell r="C3538" t="str">
            <v>M45</v>
          </cell>
        </row>
        <row r="3539">
          <cell r="B3539" t="str">
            <v>1300-10C0129</v>
          </cell>
          <cell r="C3539" t="str">
            <v>M45</v>
          </cell>
        </row>
        <row r="3540">
          <cell r="B3540" t="str">
            <v>1300-10C0140</v>
          </cell>
          <cell r="C3540" t="str">
            <v>M45</v>
          </cell>
        </row>
        <row r="3541">
          <cell r="B3541" t="str">
            <v>1300-1E30008</v>
          </cell>
          <cell r="C3541" t="str">
            <v>M45</v>
          </cell>
        </row>
        <row r="3542">
          <cell r="B3542" t="str">
            <v>1300-1E30010</v>
          </cell>
          <cell r="C3542" t="str">
            <v>M45</v>
          </cell>
        </row>
        <row r="3543">
          <cell r="B3543" t="str">
            <v>1300-9SE0001</v>
          </cell>
          <cell r="C3543" t="str">
            <v>M45</v>
          </cell>
        </row>
        <row r="3544">
          <cell r="B3544" t="str">
            <v>1300-9SE0002</v>
          </cell>
          <cell r="C3544" t="str">
            <v>M45</v>
          </cell>
        </row>
        <row r="3545">
          <cell r="B3545" t="str">
            <v>1300-9SE0003</v>
          </cell>
          <cell r="C3545" t="str">
            <v>M45</v>
          </cell>
        </row>
        <row r="3546">
          <cell r="B3546" t="str">
            <v>1300-9SE0003/MX</v>
          </cell>
          <cell r="C3546" t="str">
            <v>M45</v>
          </cell>
        </row>
        <row r="3547">
          <cell r="B3547" t="str">
            <v>1300-9SE0004/MX</v>
          </cell>
          <cell r="C3547" t="str">
            <v>M45</v>
          </cell>
        </row>
        <row r="3548">
          <cell r="B3548" t="str">
            <v>1300-9SE0005/MX</v>
          </cell>
          <cell r="C3548" t="str">
            <v>M45</v>
          </cell>
        </row>
        <row r="3549">
          <cell r="B3549" t="str">
            <v>1300-9SE0007</v>
          </cell>
          <cell r="C3549" t="str">
            <v>M45</v>
          </cell>
        </row>
        <row r="3550">
          <cell r="B3550" t="str">
            <v>1301-12B0010EN</v>
          </cell>
          <cell r="C3550" t="str">
            <v>M45</v>
          </cell>
        </row>
        <row r="3551">
          <cell r="B3551" t="str">
            <v>1301-12C0008EN</v>
          </cell>
          <cell r="C3551" t="str">
            <v>M45</v>
          </cell>
        </row>
        <row r="3552">
          <cell r="B3552" t="str">
            <v>1301-12C0022EN</v>
          </cell>
          <cell r="C3552" t="str">
            <v>M45</v>
          </cell>
        </row>
        <row r="3553">
          <cell r="B3553" t="str">
            <v>1301-5YY0251-93EN</v>
          </cell>
          <cell r="C3553" t="str">
            <v>M45</v>
          </cell>
        </row>
        <row r="3554">
          <cell r="B3554" t="str">
            <v>1301-5YY0251EN</v>
          </cell>
          <cell r="C3554" t="str">
            <v>M45</v>
          </cell>
        </row>
        <row r="3555">
          <cell r="B3555" t="str">
            <v>1301-9SE0001</v>
          </cell>
          <cell r="C3555" t="str">
            <v>M45</v>
          </cell>
        </row>
        <row r="3556">
          <cell r="B3556" t="str">
            <v>1301-9SE0001EN</v>
          </cell>
          <cell r="C3556" t="str">
            <v>M45</v>
          </cell>
        </row>
        <row r="3557">
          <cell r="B3557" t="str">
            <v>1301-9SE0002EN/VA</v>
          </cell>
          <cell r="C3557" t="str">
            <v>M45</v>
          </cell>
        </row>
        <row r="3558">
          <cell r="B3558" t="str">
            <v>1307-5YY0151EN</v>
          </cell>
          <cell r="C3558" t="str">
            <v>M45</v>
          </cell>
        </row>
        <row r="3559">
          <cell r="B3559" t="str">
            <v>1307-9SE0001</v>
          </cell>
          <cell r="C3559" t="str">
            <v>M45</v>
          </cell>
        </row>
        <row r="3560">
          <cell r="B3560" t="str">
            <v>1318-11A0060EN</v>
          </cell>
          <cell r="C3560" t="str">
            <v>M45</v>
          </cell>
        </row>
        <row r="3561">
          <cell r="B3561" t="str">
            <v>1318-12B0005EN</v>
          </cell>
          <cell r="C3561" t="str">
            <v>M45</v>
          </cell>
        </row>
        <row r="3562">
          <cell r="B3562" t="str">
            <v>1318-12B0009EN</v>
          </cell>
          <cell r="C3562" t="str">
            <v>M45</v>
          </cell>
        </row>
        <row r="3563">
          <cell r="B3563" t="str">
            <v>1320-DRB0001/MX</v>
          </cell>
          <cell r="C3563" t="str">
            <v>M45</v>
          </cell>
        </row>
        <row r="3564">
          <cell r="B3564" t="str">
            <v>1320-DRB0002/MX</v>
          </cell>
          <cell r="C3564" t="str">
            <v>M45</v>
          </cell>
        </row>
        <row r="3565">
          <cell r="B3565" t="str">
            <v>1330-5YY0112EN</v>
          </cell>
          <cell r="C3565" t="str">
            <v>M45</v>
          </cell>
        </row>
        <row r="3566">
          <cell r="B3566" t="str">
            <v>1337-9SE0001</v>
          </cell>
          <cell r="C3566" t="str">
            <v>M45</v>
          </cell>
        </row>
        <row r="3567">
          <cell r="B3567" t="str">
            <v>1337-DRB0001</v>
          </cell>
          <cell r="C3567" t="str">
            <v>M45</v>
          </cell>
        </row>
        <row r="3568">
          <cell r="B3568" t="str">
            <v>1339-10C0024</v>
          </cell>
          <cell r="C3568" t="str">
            <v>M45</v>
          </cell>
        </row>
        <row r="3569">
          <cell r="B3569" t="str">
            <v>1339-10C0026</v>
          </cell>
          <cell r="C3569" t="str">
            <v>M45</v>
          </cell>
        </row>
        <row r="3570">
          <cell r="B3570" t="str">
            <v>1339-12B0007EN</v>
          </cell>
          <cell r="C3570" t="str">
            <v>M45</v>
          </cell>
        </row>
        <row r="3571">
          <cell r="B3571" t="str">
            <v>1339-12B0008EN</v>
          </cell>
          <cell r="C3571" t="str">
            <v>M45</v>
          </cell>
        </row>
        <row r="3572">
          <cell r="B3572" t="str">
            <v>1339-12B0009EN</v>
          </cell>
          <cell r="C3572" t="str">
            <v>M45</v>
          </cell>
        </row>
        <row r="3573">
          <cell r="B3573" t="str">
            <v>1341-9SE0001</v>
          </cell>
          <cell r="C3573" t="str">
            <v>M45</v>
          </cell>
        </row>
        <row r="3574">
          <cell r="B3574" t="str">
            <v>1341-9SE0001/MX</v>
          </cell>
          <cell r="C3574" t="str">
            <v>M45</v>
          </cell>
        </row>
        <row r="3575">
          <cell r="B3575" t="str">
            <v>1341-9SE0002/MX</v>
          </cell>
          <cell r="C3575" t="str">
            <v>M45</v>
          </cell>
        </row>
        <row r="3576">
          <cell r="B3576" t="str">
            <v>1341-9SE0004</v>
          </cell>
          <cell r="C3576" t="str">
            <v>M45</v>
          </cell>
        </row>
        <row r="3577">
          <cell r="B3577" t="str">
            <v>1342-9YY0007</v>
          </cell>
          <cell r="C3577" t="str">
            <v>M45</v>
          </cell>
        </row>
        <row r="3578">
          <cell r="B3578" t="str">
            <v>1342-9YY0008</v>
          </cell>
          <cell r="C3578" t="str">
            <v>M45</v>
          </cell>
        </row>
        <row r="3579">
          <cell r="B3579" t="str">
            <v>1342-9YY0011</v>
          </cell>
          <cell r="C3579" t="str">
            <v>M45</v>
          </cell>
        </row>
        <row r="3580">
          <cell r="B3580" t="str">
            <v>1342-DRB0001</v>
          </cell>
          <cell r="C3580" t="str">
            <v>M45</v>
          </cell>
        </row>
        <row r="3581">
          <cell r="B3581" t="str">
            <v>1342-DRB0002</v>
          </cell>
          <cell r="C3581" t="str">
            <v>M45</v>
          </cell>
        </row>
        <row r="3582">
          <cell r="B3582" t="str">
            <v>1342-DRB0003</v>
          </cell>
          <cell r="C3582" t="str">
            <v>M45</v>
          </cell>
        </row>
        <row r="3583">
          <cell r="B3583" t="str">
            <v>1346-10C0077</v>
          </cell>
          <cell r="C3583" t="str">
            <v>M45</v>
          </cell>
        </row>
        <row r="3584">
          <cell r="B3584" t="str">
            <v>1346-10C0078</v>
          </cell>
          <cell r="C3584" t="str">
            <v>M45</v>
          </cell>
        </row>
        <row r="3585">
          <cell r="B3585" t="str">
            <v>1346-10C0079</v>
          </cell>
          <cell r="C3585" t="str">
            <v>M45</v>
          </cell>
        </row>
        <row r="3586">
          <cell r="B3586" t="str">
            <v>1346-10C0082EN</v>
          </cell>
          <cell r="C3586" t="str">
            <v>M45</v>
          </cell>
        </row>
        <row r="3587">
          <cell r="B3587" t="str">
            <v>1346-12B0010EN</v>
          </cell>
          <cell r="C3587" t="str">
            <v>M45</v>
          </cell>
        </row>
        <row r="3588">
          <cell r="B3588" t="str">
            <v>1346-9SE0001EN</v>
          </cell>
          <cell r="C3588" t="str">
            <v>M45</v>
          </cell>
        </row>
        <row r="3589">
          <cell r="B3589" t="str">
            <v>1346-V0C0016EN</v>
          </cell>
          <cell r="C3589" t="str">
            <v>M45</v>
          </cell>
        </row>
        <row r="3590">
          <cell r="B3590" t="str">
            <v>1346-V0C0018EN</v>
          </cell>
          <cell r="C3590" t="str">
            <v>M45</v>
          </cell>
        </row>
        <row r="3591">
          <cell r="B3591" t="str">
            <v>1348-10C0048</v>
          </cell>
          <cell r="C3591" t="str">
            <v>M45</v>
          </cell>
        </row>
        <row r="3592">
          <cell r="B3592" t="str">
            <v>1348-10C0049</v>
          </cell>
          <cell r="C3592" t="str">
            <v>M45</v>
          </cell>
        </row>
        <row r="3593">
          <cell r="B3593" t="str">
            <v>1391-10C0030EN</v>
          </cell>
          <cell r="C3593" t="str">
            <v>M45</v>
          </cell>
        </row>
        <row r="3594">
          <cell r="B3594" t="str">
            <v>1391-10C0140EN</v>
          </cell>
          <cell r="C3594" t="str">
            <v>M45</v>
          </cell>
        </row>
        <row r="3595">
          <cell r="B3595" t="str">
            <v>1391-1180001EN</v>
          </cell>
          <cell r="C3595" t="str">
            <v>M45</v>
          </cell>
        </row>
        <row r="3596">
          <cell r="B3596" t="str">
            <v>1391-DRB0001</v>
          </cell>
          <cell r="C3596" t="str">
            <v>M45</v>
          </cell>
        </row>
        <row r="3597">
          <cell r="B3597" t="str">
            <v>1396-DRB0001</v>
          </cell>
          <cell r="C3597" t="str">
            <v>M45</v>
          </cell>
        </row>
        <row r="3598">
          <cell r="B3598" t="str">
            <v>1397-DRB0001</v>
          </cell>
          <cell r="C3598" t="str">
            <v>M45</v>
          </cell>
        </row>
        <row r="3599">
          <cell r="B3599" t="str">
            <v>1397-MYY0003</v>
          </cell>
          <cell r="C3599" t="str">
            <v>M45</v>
          </cell>
        </row>
        <row r="3600">
          <cell r="B3600" t="str">
            <v>1404-12B0003EN</v>
          </cell>
          <cell r="C3600" t="str">
            <v>M45</v>
          </cell>
        </row>
        <row r="3601">
          <cell r="B3601" t="str">
            <v>1406-12B0001EN</v>
          </cell>
          <cell r="C3601" t="str">
            <v>M45</v>
          </cell>
        </row>
        <row r="3602">
          <cell r="B3602" t="str">
            <v>1410-DRB0001/MX</v>
          </cell>
          <cell r="C3602" t="str">
            <v>M45</v>
          </cell>
        </row>
        <row r="3603">
          <cell r="B3603" t="str">
            <v>1410-DRB0002/MX</v>
          </cell>
          <cell r="C3603" t="str">
            <v>M45</v>
          </cell>
        </row>
        <row r="3604">
          <cell r="B3604" t="str">
            <v>1410-DRB0003/MX</v>
          </cell>
          <cell r="C3604" t="str">
            <v>M45</v>
          </cell>
        </row>
        <row r="3605">
          <cell r="B3605" t="str">
            <v>1410-DRB0004/MX</v>
          </cell>
          <cell r="C3605" t="str">
            <v>M45</v>
          </cell>
        </row>
        <row r="3606">
          <cell r="B3606" t="str">
            <v>1410-DRB0005/MX</v>
          </cell>
          <cell r="C3606" t="str">
            <v>M45</v>
          </cell>
        </row>
        <row r="3607">
          <cell r="B3607" t="str">
            <v>1410-DRB0006/MX</v>
          </cell>
          <cell r="C3607" t="str">
            <v>M45</v>
          </cell>
        </row>
        <row r="3608">
          <cell r="B3608" t="str">
            <v>1410-DRB0007/MX</v>
          </cell>
          <cell r="C3608" t="str">
            <v>M45</v>
          </cell>
        </row>
        <row r="3609">
          <cell r="B3609" t="str">
            <v>1410-DRB0008/MX</v>
          </cell>
          <cell r="C3609" t="str">
            <v>M45</v>
          </cell>
        </row>
        <row r="3610">
          <cell r="B3610" t="str">
            <v>1410-DRB0009/MX</v>
          </cell>
          <cell r="C3610" t="str">
            <v>M45</v>
          </cell>
        </row>
        <row r="3611">
          <cell r="B3611" t="str">
            <v>1414-1020075</v>
          </cell>
          <cell r="C3611" t="str">
            <v>M45</v>
          </cell>
        </row>
        <row r="3612">
          <cell r="B3612" t="str">
            <v>1414-10C0073</v>
          </cell>
          <cell r="C3612" t="str">
            <v>M45</v>
          </cell>
        </row>
        <row r="3613">
          <cell r="B3613" t="str">
            <v>1414-10C0074</v>
          </cell>
          <cell r="C3613" t="str">
            <v>M45</v>
          </cell>
        </row>
        <row r="3614">
          <cell r="B3614" t="str">
            <v>1414-10C0075</v>
          </cell>
          <cell r="C3614" t="str">
            <v>M45</v>
          </cell>
        </row>
        <row r="3615">
          <cell r="B3615" t="str">
            <v>1414-11A0061</v>
          </cell>
          <cell r="C3615" t="str">
            <v>M45</v>
          </cell>
        </row>
        <row r="3616">
          <cell r="B3616" t="str">
            <v>1414-12C0002</v>
          </cell>
          <cell r="C3616" t="str">
            <v>M45</v>
          </cell>
        </row>
        <row r="3617">
          <cell r="B3617" t="str">
            <v>1414-5YY0111</v>
          </cell>
          <cell r="C3617" t="str">
            <v>M45</v>
          </cell>
        </row>
        <row r="3618">
          <cell r="B3618" t="str">
            <v>1414-9SE0001</v>
          </cell>
          <cell r="C3618" t="str">
            <v>M45</v>
          </cell>
        </row>
        <row r="3619">
          <cell r="B3619" t="str">
            <v>1414-DRB0001</v>
          </cell>
          <cell r="C3619" t="str">
            <v>M45</v>
          </cell>
        </row>
        <row r="3620">
          <cell r="B3620" t="str">
            <v>1414-DRB0003/MX</v>
          </cell>
          <cell r="C3620" t="str">
            <v>M45</v>
          </cell>
        </row>
        <row r="3621">
          <cell r="B3621" t="str">
            <v>1414-DRB0006/MX</v>
          </cell>
          <cell r="C3621" t="str">
            <v>M45</v>
          </cell>
        </row>
        <row r="3622">
          <cell r="B3622" t="str">
            <v>1414-DRB0007/MX</v>
          </cell>
          <cell r="C3622" t="str">
            <v>M45</v>
          </cell>
        </row>
        <row r="3623">
          <cell r="B3623" t="str">
            <v>1414-DRB0008/MX</v>
          </cell>
          <cell r="C3623" t="str">
            <v>M45</v>
          </cell>
        </row>
        <row r="3624">
          <cell r="B3624" t="str">
            <v>1414-M020001</v>
          </cell>
          <cell r="C3624" t="str">
            <v>M45</v>
          </cell>
        </row>
        <row r="3625">
          <cell r="B3625" t="str">
            <v>1414-MYY0029</v>
          </cell>
          <cell r="C3625" t="str">
            <v>M45</v>
          </cell>
        </row>
        <row r="3626">
          <cell r="B3626" t="str">
            <v>1414-V060006</v>
          </cell>
          <cell r="C3626" t="str">
            <v>M45</v>
          </cell>
        </row>
        <row r="3627">
          <cell r="B3627" t="str">
            <v>1414-V0C0043</v>
          </cell>
          <cell r="C3627" t="str">
            <v>M45</v>
          </cell>
        </row>
        <row r="3628">
          <cell r="B3628" t="str">
            <v>1414-V0C0144</v>
          </cell>
          <cell r="C3628" t="str">
            <v>M45</v>
          </cell>
        </row>
        <row r="3629">
          <cell r="B3629" t="str">
            <v>1414-V0C0145</v>
          </cell>
          <cell r="C3629" t="str">
            <v>M45</v>
          </cell>
        </row>
        <row r="3630">
          <cell r="B3630" t="str">
            <v>1414-V0E0056</v>
          </cell>
          <cell r="C3630" t="str">
            <v>M45</v>
          </cell>
        </row>
        <row r="3631">
          <cell r="B3631" t="str">
            <v>1428-10C0001</v>
          </cell>
          <cell r="C3631" t="str">
            <v>M45</v>
          </cell>
        </row>
        <row r="3632">
          <cell r="B3632" t="str">
            <v>1431-10C0242</v>
          </cell>
          <cell r="C3632" t="str">
            <v>M45</v>
          </cell>
        </row>
        <row r="3633">
          <cell r="B3633" t="str">
            <v>1431-10C0243</v>
          </cell>
          <cell r="C3633" t="str">
            <v>M45</v>
          </cell>
        </row>
        <row r="3634">
          <cell r="B3634" t="str">
            <v>1431-10C0244</v>
          </cell>
          <cell r="C3634" t="str">
            <v>M45</v>
          </cell>
        </row>
        <row r="3635">
          <cell r="B3635" t="str">
            <v>1434-9YY0056</v>
          </cell>
          <cell r="C3635" t="str">
            <v>M45</v>
          </cell>
        </row>
        <row r="3636">
          <cell r="B3636" t="str">
            <v>1434-9YY0058</v>
          </cell>
          <cell r="C3636" t="str">
            <v>M45</v>
          </cell>
        </row>
        <row r="3637">
          <cell r="B3637" t="str">
            <v>1434-MYY0001EN</v>
          </cell>
          <cell r="C3637" t="str">
            <v>M45</v>
          </cell>
        </row>
        <row r="3638">
          <cell r="B3638" t="str">
            <v>1438-12B0003EN</v>
          </cell>
          <cell r="C3638" t="str">
            <v>M45</v>
          </cell>
        </row>
        <row r="3639">
          <cell r="B3639" t="str">
            <v>1438-12B0006EN</v>
          </cell>
          <cell r="C3639" t="str">
            <v>M45</v>
          </cell>
        </row>
        <row r="3640">
          <cell r="B3640" t="str">
            <v>1446-12B0001EN</v>
          </cell>
          <cell r="C3640" t="str">
            <v>M45</v>
          </cell>
        </row>
        <row r="3641">
          <cell r="B3641" t="str">
            <v>1458-DRB0001EN</v>
          </cell>
          <cell r="C3641" t="str">
            <v>M45</v>
          </cell>
        </row>
        <row r="3642">
          <cell r="B3642" t="str">
            <v>1458-DRB0004EN</v>
          </cell>
          <cell r="C3642" t="str">
            <v>M45</v>
          </cell>
        </row>
        <row r="3643">
          <cell r="B3643" t="str">
            <v>1458-DRB0005/MX</v>
          </cell>
          <cell r="C3643" t="str">
            <v>M45</v>
          </cell>
        </row>
        <row r="3644">
          <cell r="B3644" t="str">
            <v>1459-12B0011EN</v>
          </cell>
          <cell r="C3644" t="str">
            <v>M45</v>
          </cell>
        </row>
        <row r="3645">
          <cell r="B3645" t="str">
            <v>1459-12B0012EN</v>
          </cell>
          <cell r="C3645" t="str">
            <v>M45</v>
          </cell>
        </row>
        <row r="3646">
          <cell r="B3646" t="str">
            <v>1459-12C0011EN</v>
          </cell>
          <cell r="C3646" t="str">
            <v>M45</v>
          </cell>
        </row>
        <row r="3647">
          <cell r="B3647" t="str">
            <v>1459-12C0014EN</v>
          </cell>
          <cell r="C3647" t="str">
            <v>M45</v>
          </cell>
        </row>
        <row r="3648">
          <cell r="B3648" t="str">
            <v>1459-DRB0001EN</v>
          </cell>
          <cell r="C3648" t="str">
            <v>M45</v>
          </cell>
        </row>
        <row r="3649">
          <cell r="B3649" t="str">
            <v>1459-DRB0004EN</v>
          </cell>
          <cell r="C3649" t="str">
            <v>M45</v>
          </cell>
        </row>
        <row r="3650">
          <cell r="B3650" t="str">
            <v>1473-DRB0001</v>
          </cell>
          <cell r="C3650" t="str">
            <v>M45</v>
          </cell>
        </row>
        <row r="3651">
          <cell r="B3651" t="str">
            <v>1473-DRB0002</v>
          </cell>
          <cell r="C3651" t="str">
            <v>M45</v>
          </cell>
        </row>
        <row r="3652">
          <cell r="B3652" t="str">
            <v>1473-DRB0002EN/VA</v>
          </cell>
          <cell r="C3652" t="str">
            <v>M45</v>
          </cell>
        </row>
        <row r="3653">
          <cell r="B3653" t="str">
            <v>1473-DRB0003</v>
          </cell>
          <cell r="C3653" t="str">
            <v>M45</v>
          </cell>
        </row>
        <row r="3654">
          <cell r="B3654" t="str">
            <v>1473-DRB0003EN/VA</v>
          </cell>
          <cell r="C3654" t="str">
            <v>M45</v>
          </cell>
        </row>
        <row r="3655">
          <cell r="B3655" t="str">
            <v>1474-5YY0004</v>
          </cell>
          <cell r="C3655" t="str">
            <v>M45</v>
          </cell>
        </row>
        <row r="3656">
          <cell r="B3656" t="str">
            <v>1484-12B0015EN</v>
          </cell>
          <cell r="C3656" t="str">
            <v>M45</v>
          </cell>
        </row>
        <row r="3657">
          <cell r="B3657" t="str">
            <v>1484-12C0010EN</v>
          </cell>
          <cell r="C3657" t="str">
            <v>M45</v>
          </cell>
        </row>
        <row r="3658">
          <cell r="B3658" t="str">
            <v>1500-10C0085</v>
          </cell>
          <cell r="C3658" t="str">
            <v>M45</v>
          </cell>
        </row>
        <row r="3659">
          <cell r="B3659" t="str">
            <v>1500-10C0086</v>
          </cell>
          <cell r="C3659" t="str">
            <v>M45</v>
          </cell>
        </row>
        <row r="3660">
          <cell r="B3660" t="str">
            <v>1500-10C0087</v>
          </cell>
          <cell r="C3660" t="str">
            <v>M45</v>
          </cell>
        </row>
        <row r="3661">
          <cell r="B3661" t="str">
            <v>1500-10C0088</v>
          </cell>
          <cell r="C3661" t="str">
            <v>M45</v>
          </cell>
        </row>
        <row r="3662">
          <cell r="B3662" t="str">
            <v>1500-10C0089</v>
          </cell>
          <cell r="C3662" t="str">
            <v>M45</v>
          </cell>
        </row>
        <row r="3663">
          <cell r="B3663" t="str">
            <v>1500-10C0090</v>
          </cell>
          <cell r="C3663" t="str">
            <v>M45</v>
          </cell>
        </row>
        <row r="3664">
          <cell r="B3664" t="str">
            <v>1500-10C0097</v>
          </cell>
          <cell r="C3664" t="str">
            <v>M45</v>
          </cell>
        </row>
        <row r="3665">
          <cell r="B3665" t="str">
            <v>1500-12B0005</v>
          </cell>
          <cell r="C3665" t="str">
            <v>M45</v>
          </cell>
        </row>
        <row r="3666">
          <cell r="B3666" t="str">
            <v>1500-12C0008</v>
          </cell>
          <cell r="C3666" t="str">
            <v>M45</v>
          </cell>
        </row>
        <row r="3667">
          <cell r="B3667" t="str">
            <v>1500-1YY0186</v>
          </cell>
          <cell r="C3667" t="str">
            <v>M45</v>
          </cell>
        </row>
        <row r="3668">
          <cell r="B3668" t="str">
            <v>1500-1YY1570</v>
          </cell>
          <cell r="C3668" t="str">
            <v>M45</v>
          </cell>
        </row>
        <row r="3669">
          <cell r="B3669" t="str">
            <v>1500-DRB0001/MX</v>
          </cell>
          <cell r="C3669" t="str">
            <v>M45</v>
          </cell>
        </row>
        <row r="3670">
          <cell r="B3670" t="str">
            <v>1500-V0C0114</v>
          </cell>
          <cell r="C3670" t="str">
            <v>M45</v>
          </cell>
        </row>
        <row r="3671">
          <cell r="B3671" t="str">
            <v>1504-10C0073</v>
          </cell>
          <cell r="C3671" t="str">
            <v>M45</v>
          </cell>
        </row>
        <row r="3672">
          <cell r="B3672" t="str">
            <v>1504-10C0074</v>
          </cell>
          <cell r="C3672" t="str">
            <v>M45</v>
          </cell>
        </row>
        <row r="3673">
          <cell r="B3673" t="str">
            <v>1504-10C0075</v>
          </cell>
          <cell r="C3673" t="str">
            <v>M45</v>
          </cell>
        </row>
        <row r="3674">
          <cell r="B3674" t="str">
            <v>1504-10C0076</v>
          </cell>
          <cell r="C3674" t="str">
            <v>M45</v>
          </cell>
        </row>
        <row r="3675">
          <cell r="B3675" t="str">
            <v>1504-10C0077</v>
          </cell>
          <cell r="C3675" t="str">
            <v>M45</v>
          </cell>
        </row>
        <row r="3676">
          <cell r="B3676" t="str">
            <v>1504-10C0078</v>
          </cell>
          <cell r="C3676" t="str">
            <v>M45</v>
          </cell>
        </row>
        <row r="3677">
          <cell r="B3677" t="str">
            <v>1504-12B0005</v>
          </cell>
          <cell r="C3677" t="str">
            <v>M45</v>
          </cell>
        </row>
        <row r="3678">
          <cell r="B3678" t="str">
            <v>1504-12C0008</v>
          </cell>
          <cell r="C3678" t="str">
            <v>M45</v>
          </cell>
        </row>
        <row r="3679">
          <cell r="B3679" t="str">
            <v>1504-1YY0153</v>
          </cell>
          <cell r="C3679" t="str">
            <v>M45</v>
          </cell>
        </row>
        <row r="3680">
          <cell r="B3680" t="str">
            <v>1504-1YY0295-01</v>
          </cell>
          <cell r="C3680" t="str">
            <v>M45</v>
          </cell>
        </row>
        <row r="3681">
          <cell r="B3681" t="str">
            <v>1504-1YY0295-02</v>
          </cell>
          <cell r="C3681" t="str">
            <v>M45</v>
          </cell>
        </row>
        <row r="3682">
          <cell r="B3682" t="str">
            <v>1504-1YY0295-03</v>
          </cell>
          <cell r="C3682" t="str">
            <v>M45</v>
          </cell>
        </row>
        <row r="3683">
          <cell r="B3683" t="str">
            <v>1504-1YY0295-04</v>
          </cell>
          <cell r="C3683" t="str">
            <v>M45</v>
          </cell>
        </row>
        <row r="3684">
          <cell r="B3684" t="str">
            <v>1504-1YY0295-05</v>
          </cell>
          <cell r="C3684" t="str">
            <v>M45</v>
          </cell>
        </row>
        <row r="3685">
          <cell r="B3685" t="str">
            <v>1504-1YY0295-06</v>
          </cell>
          <cell r="C3685" t="str">
            <v>M45</v>
          </cell>
        </row>
        <row r="3686">
          <cell r="B3686" t="str">
            <v>1514-12C0001</v>
          </cell>
          <cell r="C3686" t="str">
            <v>M45</v>
          </cell>
        </row>
        <row r="3687">
          <cell r="B3687" t="str">
            <v>1531-MYY0008</v>
          </cell>
          <cell r="C3687" t="str">
            <v>M45</v>
          </cell>
        </row>
        <row r="3688">
          <cell r="B3688" t="str">
            <v>1533-1070003</v>
          </cell>
          <cell r="C3688" t="str">
            <v>M45</v>
          </cell>
        </row>
        <row r="3689">
          <cell r="B3689" t="str">
            <v>1533-10C0019</v>
          </cell>
          <cell r="C3689" t="str">
            <v>M45</v>
          </cell>
        </row>
        <row r="3690">
          <cell r="B3690" t="str">
            <v>1533-10P0056</v>
          </cell>
          <cell r="C3690" t="str">
            <v>M45</v>
          </cell>
        </row>
        <row r="3691">
          <cell r="B3691" t="str">
            <v>1533-1YY0035</v>
          </cell>
          <cell r="C3691" t="str">
            <v>M45</v>
          </cell>
        </row>
        <row r="3692">
          <cell r="B3692" t="str">
            <v>1533-V0C0009</v>
          </cell>
          <cell r="C3692" t="str">
            <v>M45</v>
          </cell>
        </row>
        <row r="3693">
          <cell r="B3693" t="str">
            <v>1533-V0C0035</v>
          </cell>
          <cell r="C3693" t="str">
            <v>M45</v>
          </cell>
        </row>
        <row r="3694">
          <cell r="B3694" t="str">
            <v>1535-10C0002</v>
          </cell>
          <cell r="C3694" t="str">
            <v>M45</v>
          </cell>
        </row>
        <row r="3695">
          <cell r="B3695" t="str">
            <v>1535-10C0003</v>
          </cell>
          <cell r="C3695" t="str">
            <v>M45</v>
          </cell>
        </row>
        <row r="3696">
          <cell r="B3696" t="str">
            <v>1535-V0C0002</v>
          </cell>
          <cell r="C3696" t="str">
            <v>M45</v>
          </cell>
        </row>
        <row r="3697">
          <cell r="B3697" t="str">
            <v>1535-V0C0003</v>
          </cell>
          <cell r="C3697" t="str">
            <v>M45</v>
          </cell>
        </row>
        <row r="3698">
          <cell r="B3698" t="str">
            <v>1536-9RB0001</v>
          </cell>
          <cell r="C3698" t="str">
            <v>M45</v>
          </cell>
        </row>
        <row r="3699">
          <cell r="B3699" t="str">
            <v>1538-10C0003</v>
          </cell>
          <cell r="C3699" t="str">
            <v>M45</v>
          </cell>
        </row>
        <row r="3700">
          <cell r="B3700" t="str">
            <v>1538-V0C0002</v>
          </cell>
          <cell r="C3700" t="str">
            <v>M45</v>
          </cell>
        </row>
        <row r="3701">
          <cell r="B3701" t="str">
            <v>1539-10C0002</v>
          </cell>
          <cell r="C3701" t="str">
            <v>M45</v>
          </cell>
        </row>
        <row r="3702">
          <cell r="B3702" t="str">
            <v>1539-10P0010</v>
          </cell>
          <cell r="C3702" t="str">
            <v>M45</v>
          </cell>
        </row>
        <row r="3703">
          <cell r="B3703" t="str">
            <v>1543-12B0001</v>
          </cell>
          <cell r="C3703" t="str">
            <v>M45</v>
          </cell>
        </row>
        <row r="3704">
          <cell r="B3704" t="str">
            <v>1543-12B0002</v>
          </cell>
          <cell r="C3704" t="str">
            <v>M45</v>
          </cell>
        </row>
        <row r="3705">
          <cell r="B3705" t="str">
            <v>1543-V0C0001</v>
          </cell>
          <cell r="C3705" t="str">
            <v>M45</v>
          </cell>
        </row>
        <row r="3706">
          <cell r="B3706" t="str">
            <v>1560-DRB0001</v>
          </cell>
          <cell r="C3706" t="str">
            <v>M45</v>
          </cell>
        </row>
        <row r="3707">
          <cell r="B3707" t="str">
            <v>1560-DRB0002</v>
          </cell>
          <cell r="C3707" t="str">
            <v>M45</v>
          </cell>
        </row>
        <row r="3708">
          <cell r="B3708" t="str">
            <v>1572-10C0003</v>
          </cell>
          <cell r="C3708" t="str">
            <v>M45</v>
          </cell>
        </row>
        <row r="3709">
          <cell r="B3709" t="str">
            <v>1572-10C0005</v>
          </cell>
          <cell r="C3709" t="str">
            <v>M45</v>
          </cell>
        </row>
        <row r="3710">
          <cell r="B3710" t="str">
            <v>1572-1YY0048</v>
          </cell>
          <cell r="C3710" t="str">
            <v>M45</v>
          </cell>
        </row>
        <row r="3711">
          <cell r="B3711" t="str">
            <v>1572-MSD0001</v>
          </cell>
          <cell r="C3711" t="str">
            <v>M45</v>
          </cell>
        </row>
        <row r="3712">
          <cell r="B3712" t="str">
            <v>1572-MYY0003</v>
          </cell>
          <cell r="C3712" t="str">
            <v>M45</v>
          </cell>
        </row>
        <row r="3713">
          <cell r="B3713" t="str">
            <v>1622-DRB0001</v>
          </cell>
          <cell r="C3713" t="str">
            <v>M45</v>
          </cell>
        </row>
        <row r="3714">
          <cell r="B3714" t="str">
            <v>1622-DRB0002</v>
          </cell>
          <cell r="C3714" t="str">
            <v>M45</v>
          </cell>
        </row>
        <row r="3715">
          <cell r="B3715" t="str">
            <v>1622-DRB0003</v>
          </cell>
          <cell r="C3715" t="str">
            <v>M45</v>
          </cell>
        </row>
        <row r="3716">
          <cell r="B3716" t="str">
            <v>1623-10C0022-MCEN</v>
          </cell>
          <cell r="C3716" t="str">
            <v>M45</v>
          </cell>
        </row>
        <row r="3717">
          <cell r="B3717" t="str">
            <v>1623-10C0037EN</v>
          </cell>
          <cell r="C3717" t="str">
            <v>M45</v>
          </cell>
        </row>
        <row r="3718">
          <cell r="B3718" t="str">
            <v>1636-9SE0001</v>
          </cell>
          <cell r="C3718" t="str">
            <v>M45</v>
          </cell>
        </row>
        <row r="3719">
          <cell r="B3719" t="str">
            <v>1636-9SE0002/MX</v>
          </cell>
          <cell r="C3719" t="str">
            <v>M45</v>
          </cell>
        </row>
        <row r="3720">
          <cell r="B3720" t="str">
            <v>1636-9SE0003/MX</v>
          </cell>
          <cell r="C3720" t="str">
            <v>M45</v>
          </cell>
        </row>
        <row r="3721">
          <cell r="B3721" t="str">
            <v>1636-9SE0005EN</v>
          </cell>
          <cell r="C3721" t="str">
            <v>M45</v>
          </cell>
        </row>
        <row r="3722">
          <cell r="B3722" t="str">
            <v>1651-MYY0083EN</v>
          </cell>
          <cell r="C3722" t="str">
            <v>M45</v>
          </cell>
        </row>
        <row r="3723">
          <cell r="B3723" t="str">
            <v>1663-5YY0049-MT</v>
          </cell>
          <cell r="C3723" t="str">
            <v>M45</v>
          </cell>
        </row>
        <row r="3724">
          <cell r="B3724" t="str">
            <v>1663-5YY0061-MT</v>
          </cell>
          <cell r="C3724" t="str">
            <v>M45</v>
          </cell>
        </row>
        <row r="3725">
          <cell r="B3725" t="str">
            <v>1999-10C0157EN</v>
          </cell>
          <cell r="C3725" t="str">
            <v>M45</v>
          </cell>
        </row>
        <row r="3726">
          <cell r="B3726" t="str">
            <v>1999-10C0196EN</v>
          </cell>
          <cell r="C3726" t="str">
            <v>M45</v>
          </cell>
        </row>
        <row r="3727">
          <cell r="B3727" t="str">
            <v>1999-10C0197EN</v>
          </cell>
          <cell r="C3727" t="str">
            <v>M45</v>
          </cell>
        </row>
        <row r="3728">
          <cell r="B3728" t="str">
            <v>1999-10C0205EN</v>
          </cell>
          <cell r="C3728" t="str">
            <v>M45</v>
          </cell>
        </row>
        <row r="3729">
          <cell r="B3729" t="str">
            <v>1999-1E30017EN</v>
          </cell>
          <cell r="C3729" t="str">
            <v>M45</v>
          </cell>
        </row>
        <row r="3730">
          <cell r="B3730" t="str">
            <v>20710-52100</v>
          </cell>
          <cell r="C3730" t="str">
            <v>M45</v>
          </cell>
        </row>
        <row r="3731">
          <cell r="B3731" t="str">
            <v>20711-52100</v>
          </cell>
          <cell r="C3731" t="str">
            <v>M45</v>
          </cell>
        </row>
        <row r="3732">
          <cell r="B3732" t="str">
            <v>AYSP61AS831</v>
          </cell>
          <cell r="C3732" t="str">
            <v>M45</v>
          </cell>
        </row>
        <row r="3733">
          <cell r="B3733" t="str">
            <v>AYSP61AS832</v>
          </cell>
          <cell r="C3733" t="str">
            <v>M45</v>
          </cell>
        </row>
        <row r="3734">
          <cell r="B3734" t="str">
            <v>AYSP61AS833</v>
          </cell>
          <cell r="C3734" t="str">
            <v>M45</v>
          </cell>
        </row>
        <row r="3735">
          <cell r="B3735" t="str">
            <v>AYSP61AS871EN</v>
          </cell>
          <cell r="C3735" t="str">
            <v>M45</v>
          </cell>
        </row>
        <row r="3736">
          <cell r="B3736" t="str">
            <v>AYSP61AS872EN</v>
          </cell>
          <cell r="C3736" t="str">
            <v>M45</v>
          </cell>
        </row>
        <row r="3737">
          <cell r="B3737" t="str">
            <v>AYSP61AS874EN</v>
          </cell>
          <cell r="C3737" t="str">
            <v>M45</v>
          </cell>
        </row>
        <row r="3738">
          <cell r="B3738" t="str">
            <v>AYSP61AS981EN</v>
          </cell>
          <cell r="C3738" t="str">
            <v>M45</v>
          </cell>
        </row>
        <row r="3739">
          <cell r="B3739" t="str">
            <v>AYSP61AS982EN</v>
          </cell>
          <cell r="C3739" t="str">
            <v>M45</v>
          </cell>
        </row>
        <row r="3740">
          <cell r="B3740" t="str">
            <v>AYSP61AS984EN</v>
          </cell>
          <cell r="C3740" t="str">
            <v>M45</v>
          </cell>
        </row>
        <row r="3741">
          <cell r="B3741" t="str">
            <v>AYSP61BS348EN</v>
          </cell>
          <cell r="C3741" t="str">
            <v>M45</v>
          </cell>
        </row>
        <row r="3742">
          <cell r="B3742" t="str">
            <v>AYSP61BS362EN</v>
          </cell>
          <cell r="C3742" t="str">
            <v>M45</v>
          </cell>
        </row>
        <row r="3743">
          <cell r="B3743" t="str">
            <v>AYSP61BS363EN</v>
          </cell>
          <cell r="C3743" t="str">
            <v>M45</v>
          </cell>
        </row>
        <row r="3744">
          <cell r="B3744" t="str">
            <v>AYSP61BS364EN</v>
          </cell>
          <cell r="C3744" t="str">
            <v>M45</v>
          </cell>
        </row>
        <row r="3745">
          <cell r="B3745" t="str">
            <v>AYSP61BS365EN</v>
          </cell>
          <cell r="C3745" t="str">
            <v>M45</v>
          </cell>
        </row>
        <row r="3746">
          <cell r="B3746" t="str">
            <v>CC-D-1200X1000X80</v>
          </cell>
          <cell r="C3746" t="str">
            <v>M45</v>
          </cell>
        </row>
        <row r="3747">
          <cell r="B3747" t="str">
            <v>CPLBPA004/1</v>
          </cell>
          <cell r="C3747" t="str">
            <v>M45</v>
          </cell>
        </row>
        <row r="3748">
          <cell r="B3748" t="str">
            <v>CPPKPG001</v>
          </cell>
          <cell r="C3748" t="str">
            <v>M45</v>
          </cell>
        </row>
        <row r="3749">
          <cell r="B3749" t="str">
            <v>CPPKPW013/1</v>
          </cell>
          <cell r="C3749" t="str">
            <v>M45</v>
          </cell>
        </row>
        <row r="3750">
          <cell r="B3750" t="str">
            <v>CPPKPW1200X800</v>
          </cell>
          <cell r="C3750" t="str">
            <v>M45</v>
          </cell>
        </row>
        <row r="3751">
          <cell r="B3751" t="str">
            <v>CPSP61B44055EN</v>
          </cell>
          <cell r="C3751" t="str">
            <v>M45</v>
          </cell>
        </row>
        <row r="3752">
          <cell r="B3752" t="str">
            <v>CPSP61C01030EN</v>
          </cell>
          <cell r="C3752" t="str">
            <v>M45</v>
          </cell>
        </row>
        <row r="3753">
          <cell r="B3753" t="str">
            <v>CPSP61C01032EN</v>
          </cell>
          <cell r="C3753" t="str">
            <v>M45</v>
          </cell>
        </row>
        <row r="3754">
          <cell r="B3754" t="str">
            <v>CPSP61D02053EN</v>
          </cell>
          <cell r="C3754" t="str">
            <v>M45</v>
          </cell>
        </row>
        <row r="3755">
          <cell r="B3755" t="str">
            <v>CPSP61D02057EN</v>
          </cell>
          <cell r="C3755" t="str">
            <v>M45</v>
          </cell>
        </row>
        <row r="3756">
          <cell r="B3756" t="str">
            <v>CS-S-1185X985X865</v>
          </cell>
          <cell r="C3756" t="str">
            <v>M45</v>
          </cell>
        </row>
        <row r="3757">
          <cell r="B3757" t="str">
            <v>CS-S-1185x985x865</v>
          </cell>
          <cell r="C3757" t="str">
            <v>M45</v>
          </cell>
        </row>
        <row r="3758">
          <cell r="B3758" t="str">
            <v>CT-D-580X385X100</v>
          </cell>
          <cell r="C3758" t="str">
            <v>M45</v>
          </cell>
        </row>
        <row r="3759">
          <cell r="B3759" t="str">
            <v>PU-S-540X365</v>
          </cell>
          <cell r="C3759" t="str">
            <v>M45</v>
          </cell>
        </row>
        <row r="3760">
          <cell r="B3760" t="str">
            <v>RMARCP307</v>
          </cell>
          <cell r="C3760" t="str">
            <v>M45</v>
          </cell>
        </row>
        <row r="3761">
          <cell r="B3761" t="str">
            <v>RMARCP77</v>
          </cell>
          <cell r="C3761" t="str">
            <v>M45</v>
          </cell>
        </row>
        <row r="3762">
          <cell r="B3762" t="str">
            <v>RMLBGR593</v>
          </cell>
          <cell r="C3762" t="str">
            <v>M45</v>
          </cell>
        </row>
        <row r="3763">
          <cell r="B3763" t="str">
            <v>RMOLOM350</v>
          </cell>
          <cell r="C3763" t="str">
            <v>M45</v>
          </cell>
        </row>
        <row r="3764">
          <cell r="B3764" t="str">
            <v>RMPPSB001X110</v>
          </cell>
          <cell r="C3764" t="str">
            <v>M45</v>
          </cell>
        </row>
        <row r="3765">
          <cell r="B3765" t="str">
            <v>RMSFRL001X460</v>
          </cell>
          <cell r="C3765" t="str">
            <v>M45</v>
          </cell>
        </row>
        <row r="3766">
          <cell r="B3766" t="str">
            <v>RMTPPM245X127</v>
          </cell>
          <cell r="C3766" t="str">
            <v>M45</v>
          </cell>
        </row>
        <row r="3767">
          <cell r="B3767" t="str">
            <v>RMTPPM245X254</v>
          </cell>
          <cell r="C3767" t="str">
            <v>M45</v>
          </cell>
        </row>
        <row r="3768">
          <cell r="B3768" t="str">
            <v>WPSP61D0120EN</v>
          </cell>
          <cell r="C3768" t="str">
            <v>M45</v>
          </cell>
        </row>
        <row r="3769">
          <cell r="B3769" t="str">
            <v>WPSP61D0171EN</v>
          </cell>
          <cell r="C3769" t="str">
            <v>M45</v>
          </cell>
        </row>
        <row r="3770">
          <cell r="B3770" t="str">
            <v>XXX0070-M040003</v>
          </cell>
          <cell r="C3770" t="str">
            <v>M45</v>
          </cell>
        </row>
        <row r="3771">
          <cell r="B3771" t="str">
            <v>XXX1531-MYY0008</v>
          </cell>
          <cell r="C3771" t="str">
            <v>M45</v>
          </cell>
        </row>
        <row r="3772">
          <cell r="B3772" t="str">
            <v>1100-12C0005EN</v>
          </cell>
          <cell r="C3772" t="str">
            <v>M45</v>
          </cell>
        </row>
        <row r="3773">
          <cell r="B3773" t="str">
            <v>1100-1E30007</v>
          </cell>
          <cell r="C3773" t="str">
            <v>M45</v>
          </cell>
        </row>
        <row r="3774">
          <cell r="B3774" t="str">
            <v>1202-12C0001EN</v>
          </cell>
          <cell r="C3774" t="str">
            <v>M45</v>
          </cell>
        </row>
        <row r="3775">
          <cell r="B3775" t="str">
            <v>1202-12C0002EN</v>
          </cell>
          <cell r="C3775" t="str">
            <v>M45</v>
          </cell>
        </row>
        <row r="3776">
          <cell r="B3776" t="str">
            <v>1205-12C0014EN</v>
          </cell>
          <cell r="C3776" t="str">
            <v>M45</v>
          </cell>
        </row>
        <row r="3777">
          <cell r="B3777" t="str">
            <v>1205-12C0015EN</v>
          </cell>
          <cell r="C3777" t="str">
            <v>M45</v>
          </cell>
        </row>
        <row r="3778">
          <cell r="B3778" t="str">
            <v>1205-12C0016EN</v>
          </cell>
          <cell r="C3778" t="str">
            <v>M45</v>
          </cell>
        </row>
        <row r="3779">
          <cell r="B3779" t="str">
            <v>1300-1E30009</v>
          </cell>
          <cell r="C3779" t="str">
            <v>M45</v>
          </cell>
        </row>
        <row r="3780">
          <cell r="B3780" t="str">
            <v>1301-12C0021EN</v>
          </cell>
          <cell r="C3780" t="str">
            <v>M45</v>
          </cell>
        </row>
        <row r="3781">
          <cell r="B3781" t="str">
            <v>1305-12C0001EN</v>
          </cell>
          <cell r="C3781" t="str">
            <v>M45</v>
          </cell>
        </row>
        <row r="3782">
          <cell r="B3782" t="str">
            <v>1339-12C0007EN</v>
          </cell>
          <cell r="C3782" t="str">
            <v>M45</v>
          </cell>
        </row>
        <row r="3783">
          <cell r="B3783" t="str">
            <v>1339-12C0008EN</v>
          </cell>
          <cell r="C3783" t="str">
            <v>M45</v>
          </cell>
        </row>
        <row r="3784">
          <cell r="B3784" t="str">
            <v>1346-12C0011EN</v>
          </cell>
          <cell r="C3784" t="str">
            <v>M45</v>
          </cell>
        </row>
        <row r="3785">
          <cell r="B3785" t="str">
            <v>1404-12C0002EN</v>
          </cell>
          <cell r="C3785" t="str">
            <v>M45</v>
          </cell>
        </row>
        <row r="3786">
          <cell r="B3786" t="str">
            <v>1438-12C0005EN</v>
          </cell>
          <cell r="C3786" t="str">
            <v>M45</v>
          </cell>
        </row>
        <row r="3787">
          <cell r="B3787" t="str">
            <v>1459-12C0018EN</v>
          </cell>
          <cell r="C3787" t="str">
            <v>M45</v>
          </cell>
        </row>
        <row r="3788">
          <cell r="B3788" t="str">
            <v>1484-12C0012EN</v>
          </cell>
          <cell r="C3788" t="str">
            <v>M45</v>
          </cell>
        </row>
        <row r="3789">
          <cell r="B3789" t="str">
            <v>1500-12C0007</v>
          </cell>
          <cell r="C3789" t="str">
            <v>M45</v>
          </cell>
        </row>
        <row r="3790">
          <cell r="B3790" t="str">
            <v>1504-12C0007</v>
          </cell>
          <cell r="C3790" t="str">
            <v>M45</v>
          </cell>
        </row>
        <row r="3791">
          <cell r="B3791" t="str">
            <v>1514-1030006</v>
          </cell>
          <cell r="C3791" t="str">
            <v>M45</v>
          </cell>
        </row>
        <row r="3792">
          <cell r="B3792" t="str">
            <v>1533-1140008</v>
          </cell>
          <cell r="C3792" t="str">
            <v>M45</v>
          </cell>
        </row>
        <row r="3793">
          <cell r="B3793" t="str">
            <v>1543-1030001</v>
          </cell>
          <cell r="C3793" t="str">
            <v>M45</v>
          </cell>
        </row>
        <row r="3794">
          <cell r="B3794" t="str">
            <v>1999-1E30015EN</v>
          </cell>
          <cell r="C3794" t="str">
            <v>M45</v>
          </cell>
        </row>
        <row r="3795">
          <cell r="B3795" t="str">
            <v>1999-1E30016EU</v>
          </cell>
          <cell r="C3795" t="str">
            <v>M45</v>
          </cell>
        </row>
        <row r="3796">
          <cell r="B3796" t="str">
            <v>0044-V02A004EN0004</v>
          </cell>
          <cell r="C3796" t="str">
            <v>M45</v>
          </cell>
        </row>
        <row r="3797">
          <cell r="B3797" t="str">
            <v>0059-V040430EN</v>
          </cell>
          <cell r="C3797" t="str">
            <v>M45</v>
          </cell>
        </row>
        <row r="3798">
          <cell r="B3798" t="str">
            <v>0071-G01A005EN0015</v>
          </cell>
          <cell r="C3798" t="str">
            <v>M45</v>
          </cell>
        </row>
        <row r="3799">
          <cell r="B3799" t="str">
            <v>0071-G130002EN0025</v>
          </cell>
          <cell r="C3799" t="str">
            <v>M45</v>
          </cell>
        </row>
        <row r="3800">
          <cell r="B3800" t="str">
            <v>0072-V010280EN</v>
          </cell>
          <cell r="C3800" t="str">
            <v>M45</v>
          </cell>
        </row>
        <row r="3801">
          <cell r="B3801" t="str">
            <v>0073-V15A295</v>
          </cell>
          <cell r="C3801" t="str">
            <v>M45</v>
          </cell>
        </row>
        <row r="3802">
          <cell r="B3802" t="str">
            <v>0073-V23A295EN</v>
          </cell>
          <cell r="C3802" t="str">
            <v>M45</v>
          </cell>
        </row>
        <row r="3803">
          <cell r="B3803" t="str">
            <v>1101-10C0243EN</v>
          </cell>
          <cell r="C3803" t="str">
            <v>M45</v>
          </cell>
        </row>
        <row r="3804">
          <cell r="B3804" t="str">
            <v>1110-V0C0021EN</v>
          </cell>
          <cell r="C3804" t="str">
            <v>M45</v>
          </cell>
        </row>
        <row r="3805">
          <cell r="B3805" t="str">
            <v>1133-10C0001EN</v>
          </cell>
          <cell r="C3805" t="str">
            <v>M45</v>
          </cell>
        </row>
        <row r="3806">
          <cell r="B3806" t="str">
            <v>1201-V0C0051EN</v>
          </cell>
          <cell r="C3806" t="str">
            <v>M45</v>
          </cell>
        </row>
        <row r="3807">
          <cell r="B3807" t="str">
            <v>1202-V0C0018EN</v>
          </cell>
          <cell r="C3807" t="str">
            <v>M45</v>
          </cell>
        </row>
        <row r="3808">
          <cell r="B3808" t="str">
            <v>1204-V0C0010EN</v>
          </cell>
          <cell r="C3808" t="str">
            <v>M45</v>
          </cell>
        </row>
        <row r="3809">
          <cell r="B3809" t="str">
            <v>1205-V0C0003EN</v>
          </cell>
          <cell r="C3809" t="str">
            <v>M45</v>
          </cell>
        </row>
        <row r="3810">
          <cell r="B3810" t="str">
            <v>1205-V0C0004EN</v>
          </cell>
          <cell r="C3810" t="str">
            <v>M45</v>
          </cell>
        </row>
        <row r="3811">
          <cell r="B3811" t="str">
            <v>1205-V0C0007EN</v>
          </cell>
          <cell r="C3811" t="str">
            <v>M45</v>
          </cell>
        </row>
        <row r="3812">
          <cell r="B3812" t="str">
            <v>1275-V0C0042EN</v>
          </cell>
          <cell r="C3812" t="str">
            <v>M45</v>
          </cell>
        </row>
        <row r="3813">
          <cell r="B3813" t="str">
            <v>1339-10C0002EN</v>
          </cell>
          <cell r="C3813" t="str">
            <v>M45</v>
          </cell>
        </row>
        <row r="3814">
          <cell r="B3814" t="str">
            <v>1346-V0C0060EN</v>
          </cell>
          <cell r="C3814" t="str">
            <v>M45</v>
          </cell>
        </row>
        <row r="3815">
          <cell r="B3815" t="str">
            <v>1391-10C0135EN</v>
          </cell>
          <cell r="C3815" t="str">
            <v>M45</v>
          </cell>
        </row>
        <row r="3816">
          <cell r="B3816" t="str">
            <v>AYSP61AS873EN</v>
          </cell>
          <cell r="C3816" t="str">
            <v>M45</v>
          </cell>
        </row>
        <row r="3817">
          <cell r="B3817" t="str">
            <v>CPSP61A09032-RNEN</v>
          </cell>
          <cell r="C3817" t="str">
            <v>M45</v>
          </cell>
        </row>
        <row r="3818">
          <cell r="B3818" t="str">
            <v>CPSP61C01028EN</v>
          </cell>
          <cell r="C3818" t="str">
            <v>M45</v>
          </cell>
        </row>
        <row r="3819">
          <cell r="B3819" t="str">
            <v>0070-M130001-B</v>
          </cell>
          <cell r="C3819" t="str">
            <v>M20</v>
          </cell>
        </row>
        <row r="3820">
          <cell r="B3820" t="str">
            <v>0062-1000080-6</v>
          </cell>
          <cell r="C3820" t="str">
            <v>M20</v>
          </cell>
        </row>
        <row r="3821">
          <cell r="B3821" t="str">
            <v>0081-1000095</v>
          </cell>
          <cell r="C3821" t="str">
            <v>M20</v>
          </cell>
        </row>
        <row r="3822">
          <cell r="B3822" t="str">
            <v>0081-1000102</v>
          </cell>
          <cell r="C3822" t="str">
            <v>M20</v>
          </cell>
        </row>
        <row r="3823">
          <cell r="B3823" t="str">
            <v>0085-1000002</v>
          </cell>
          <cell r="C3823" t="str">
            <v>M20</v>
          </cell>
        </row>
        <row r="3824">
          <cell r="B3824" t="str">
            <v>0088-1000101</v>
          </cell>
          <cell r="C3824" t="str">
            <v>M20</v>
          </cell>
        </row>
        <row r="3825">
          <cell r="B3825" t="str">
            <v>1108-1040055EN</v>
          </cell>
          <cell r="C3825" t="str">
            <v>M20</v>
          </cell>
        </row>
        <row r="3826">
          <cell r="B3826" t="str">
            <v>1109-1040006EN</v>
          </cell>
          <cell r="C3826" t="str">
            <v>M20</v>
          </cell>
        </row>
        <row r="3827">
          <cell r="B3827" t="str">
            <v>1110-1040013EN</v>
          </cell>
          <cell r="C3827" t="str">
            <v>M20</v>
          </cell>
        </row>
        <row r="3828">
          <cell r="B3828" t="str">
            <v>1158-1040013EN</v>
          </cell>
          <cell r="C3828" t="str">
            <v>M20</v>
          </cell>
        </row>
        <row r="3829">
          <cell r="B3829" t="str">
            <v>1201-1040206/MX</v>
          </cell>
          <cell r="C3829" t="str">
            <v>M20</v>
          </cell>
        </row>
        <row r="3830">
          <cell r="B3830" t="str">
            <v>1202-1020145-47EN</v>
          </cell>
          <cell r="C3830" t="str">
            <v>M20</v>
          </cell>
        </row>
        <row r="3831">
          <cell r="B3831" t="str">
            <v>1202-1040038-47EN</v>
          </cell>
          <cell r="C3831" t="str">
            <v>M20</v>
          </cell>
        </row>
        <row r="3832">
          <cell r="B3832" t="str">
            <v>1205-1040113-T1EN</v>
          </cell>
          <cell r="C3832" t="str">
            <v>M20</v>
          </cell>
        </row>
        <row r="3833">
          <cell r="B3833" t="str">
            <v>1205-1040114-T1EN</v>
          </cell>
          <cell r="C3833" t="str">
            <v>M20</v>
          </cell>
        </row>
        <row r="3834">
          <cell r="B3834" t="str">
            <v>1263-1040039EN</v>
          </cell>
          <cell r="C3834" t="str">
            <v>M20</v>
          </cell>
        </row>
        <row r="3835">
          <cell r="B3835" t="str">
            <v>1300-1040073/MX</v>
          </cell>
          <cell r="C3835" t="str">
            <v>M20</v>
          </cell>
        </row>
        <row r="3836">
          <cell r="B3836" t="str">
            <v>1301-1040184-93EN</v>
          </cell>
          <cell r="C3836" t="str">
            <v>M20</v>
          </cell>
        </row>
        <row r="3837">
          <cell r="B3837" t="str">
            <v>1307-1040143EN</v>
          </cell>
          <cell r="C3837" t="str">
            <v>M20</v>
          </cell>
        </row>
        <row r="3838">
          <cell r="B3838" t="str">
            <v>1500-1040079</v>
          </cell>
          <cell r="C3838" t="str">
            <v>M20</v>
          </cell>
        </row>
        <row r="3839">
          <cell r="B3839" t="str">
            <v>1506-1040003</v>
          </cell>
          <cell r="C3839" t="str">
            <v>M20</v>
          </cell>
        </row>
        <row r="3840">
          <cell r="B3840" t="str">
            <v>1533-1140008</v>
          </cell>
          <cell r="C3840" t="str">
            <v>M20</v>
          </cell>
        </row>
        <row r="3841">
          <cell r="B3841" t="str">
            <v>1533-9090002</v>
          </cell>
          <cell r="C3841" t="str">
            <v>M20</v>
          </cell>
        </row>
        <row r="3842">
          <cell r="B3842" t="str">
            <v>1539-1MB0006</v>
          </cell>
          <cell r="C3842" t="str">
            <v>M20</v>
          </cell>
        </row>
        <row r="3843">
          <cell r="B3843" t="str">
            <v>1560-1060012</v>
          </cell>
          <cell r="C3843" t="str">
            <v>M20</v>
          </cell>
        </row>
        <row r="3844">
          <cell r="B3844" t="str">
            <v>20710-52100</v>
          </cell>
          <cell r="C3844" t="str">
            <v>M20</v>
          </cell>
        </row>
        <row r="3845">
          <cell r="B3845" t="str">
            <v>20710-53900</v>
          </cell>
          <cell r="C3845" t="str">
            <v>M20</v>
          </cell>
        </row>
        <row r="3846">
          <cell r="B3846" t="str">
            <v>20711-52100</v>
          </cell>
          <cell r="C3846" t="str">
            <v>M20</v>
          </cell>
        </row>
        <row r="3847">
          <cell r="B3847" t="str">
            <v>63800-11000EP</v>
          </cell>
          <cell r="C3847" t="str">
            <v>M20</v>
          </cell>
        </row>
        <row r="3848">
          <cell r="B3848" t="str">
            <v>CPPKPB005/1</v>
          </cell>
          <cell r="C3848" t="str">
            <v>M20</v>
          </cell>
        </row>
        <row r="3849">
          <cell r="B3849" t="str">
            <v>CPPKPG001</v>
          </cell>
          <cell r="C3849" t="str">
            <v>M20</v>
          </cell>
        </row>
        <row r="3850">
          <cell r="B3850" t="str">
            <v>CPPKPW1200X800</v>
          </cell>
          <cell r="C3850" t="str">
            <v>M20</v>
          </cell>
        </row>
        <row r="3851">
          <cell r="B3851" t="str">
            <v>CPLBPA004/1</v>
          </cell>
          <cell r="C3851" t="str">
            <v>M20</v>
          </cell>
        </row>
        <row r="3852">
          <cell r="B3852" t="str">
            <v>CPLBPA006/1</v>
          </cell>
          <cell r="C3852" t="str">
            <v>M20</v>
          </cell>
        </row>
        <row r="3853">
          <cell r="B3853" t="str">
            <v>CPPKPS400X300</v>
          </cell>
          <cell r="C3853" t="str">
            <v>M20</v>
          </cell>
        </row>
        <row r="3854">
          <cell r="B3854" t="str">
            <v>RMCYCA010</v>
          </cell>
          <cell r="C3854" t="str">
            <v>M20</v>
          </cell>
        </row>
        <row r="3855">
          <cell r="B3855" t="str">
            <v>RMEPGL001-1</v>
          </cell>
          <cell r="C3855" t="str">
            <v>M20</v>
          </cell>
        </row>
        <row r="3856">
          <cell r="B3856" t="str">
            <v>RMEPGL001-2</v>
          </cell>
          <cell r="C3856" t="str">
            <v>M20</v>
          </cell>
        </row>
        <row r="3857">
          <cell r="B3857" t="str">
            <v>RMEPPD219</v>
          </cell>
          <cell r="C3857" t="str">
            <v>M20</v>
          </cell>
        </row>
        <row r="3858">
          <cell r="B3858" t="str">
            <v>RMLBGRL32</v>
          </cell>
          <cell r="C3858" t="str">
            <v>M20</v>
          </cell>
        </row>
        <row r="3859">
          <cell r="B3859" t="str">
            <v>RMPESY015</v>
          </cell>
          <cell r="C3859" t="str">
            <v>M20</v>
          </cell>
        </row>
        <row r="3860">
          <cell r="B3860" t="str">
            <v>RMPPSB001X110</v>
          </cell>
          <cell r="C3860" t="str">
            <v>M20</v>
          </cell>
        </row>
        <row r="3861">
          <cell r="B3861" t="str">
            <v>RMTPPP002X635</v>
          </cell>
          <cell r="C3861" t="str">
            <v>M20</v>
          </cell>
        </row>
        <row r="3862">
          <cell r="B3862" t="str">
            <v>CPSPBR313X250EN</v>
          </cell>
          <cell r="C3862" t="str">
            <v>M20</v>
          </cell>
        </row>
        <row r="3863">
          <cell r="B3863" t="str">
            <v>1100-1040127/MX</v>
          </cell>
          <cell r="C3863" t="str">
            <v>M20</v>
          </cell>
        </row>
        <row r="3864">
          <cell r="B3864" t="str">
            <v>1101-1040180EN</v>
          </cell>
          <cell r="C3864" t="str">
            <v>M20</v>
          </cell>
        </row>
        <row r="3865">
          <cell r="B3865" t="str">
            <v>1104-M040001EN</v>
          </cell>
          <cell r="C3865" t="str">
            <v>M20</v>
          </cell>
        </row>
        <row r="3866">
          <cell r="B3866" t="str">
            <v>1200-1040086/MX</v>
          </cell>
          <cell r="C3866" t="str">
            <v>M20</v>
          </cell>
        </row>
        <row r="3867">
          <cell r="B3867" t="str">
            <v>1438-1040038EN</v>
          </cell>
          <cell r="C3867" t="str">
            <v>M20</v>
          </cell>
        </row>
        <row r="3868">
          <cell r="B3868" t="str">
            <v>0060-1050270-B</v>
          </cell>
          <cell r="C3868" t="str">
            <v>M23</v>
          </cell>
        </row>
        <row r="3869">
          <cell r="B3869" t="str">
            <v>0060-1050320-B</v>
          </cell>
          <cell r="C3869" t="str">
            <v>M23</v>
          </cell>
        </row>
        <row r="3870">
          <cell r="B3870" t="str">
            <v>0060-1050550-J</v>
          </cell>
          <cell r="C3870" t="str">
            <v>M23</v>
          </cell>
        </row>
        <row r="3871">
          <cell r="B3871" t="str">
            <v>0060-1050650-B</v>
          </cell>
          <cell r="C3871" t="str">
            <v>M23</v>
          </cell>
        </row>
        <row r="3872">
          <cell r="B3872" t="str">
            <v>0060-1050900-J</v>
          </cell>
          <cell r="C3872" t="str">
            <v>M23</v>
          </cell>
        </row>
        <row r="3873">
          <cell r="B3873" t="str">
            <v>0063-1000001/MX</v>
          </cell>
          <cell r="C3873" t="str">
            <v>M23</v>
          </cell>
        </row>
        <row r="3874">
          <cell r="B3874" t="str">
            <v>0063-1000005</v>
          </cell>
          <cell r="C3874" t="str">
            <v>M23</v>
          </cell>
        </row>
        <row r="3875">
          <cell r="B3875" t="str">
            <v>0081-1000096</v>
          </cell>
          <cell r="C3875" t="str">
            <v>M23</v>
          </cell>
        </row>
        <row r="3876">
          <cell r="B3876" t="str">
            <v>0081-1000102</v>
          </cell>
          <cell r="C3876" t="str">
            <v>M23</v>
          </cell>
        </row>
        <row r="3877">
          <cell r="B3877" t="str">
            <v>0081-5000001EN</v>
          </cell>
          <cell r="C3877" t="str">
            <v>M23</v>
          </cell>
        </row>
        <row r="3878">
          <cell r="B3878" t="str">
            <v>0083-1000015</v>
          </cell>
          <cell r="C3878" t="str">
            <v>M23</v>
          </cell>
        </row>
        <row r="3879">
          <cell r="B3879" t="str">
            <v>0083-G000003EN</v>
          </cell>
          <cell r="C3879" t="str">
            <v>M23</v>
          </cell>
        </row>
        <row r="3880">
          <cell r="B3880" t="str">
            <v>0085-1000002</v>
          </cell>
          <cell r="C3880" t="str">
            <v>M23</v>
          </cell>
        </row>
        <row r="3881">
          <cell r="B3881" t="str">
            <v>0088-1000101</v>
          </cell>
          <cell r="C3881" t="str">
            <v>M23</v>
          </cell>
        </row>
        <row r="3882">
          <cell r="B3882" t="str">
            <v>1100-1030888/MX</v>
          </cell>
          <cell r="C3882" t="str">
            <v>M23</v>
          </cell>
        </row>
        <row r="3883">
          <cell r="B3883" t="str">
            <v>1100-1061243/MX</v>
          </cell>
          <cell r="C3883" t="str">
            <v>M23</v>
          </cell>
        </row>
        <row r="3884">
          <cell r="B3884" t="str">
            <v>1100-1120182</v>
          </cell>
          <cell r="C3884" t="str">
            <v>M23</v>
          </cell>
        </row>
        <row r="3885">
          <cell r="B3885" t="str">
            <v>1100-1E90251</v>
          </cell>
          <cell r="C3885" t="str">
            <v>M23</v>
          </cell>
        </row>
        <row r="3886">
          <cell r="B3886" t="str">
            <v>1100-1E90263</v>
          </cell>
          <cell r="C3886" t="str">
            <v>M23</v>
          </cell>
        </row>
        <row r="3887">
          <cell r="B3887" t="str">
            <v>1101-1020668EN</v>
          </cell>
          <cell r="C3887" t="str">
            <v>M23</v>
          </cell>
        </row>
        <row r="3888">
          <cell r="B3888" t="str">
            <v>1101-1060600EN</v>
          </cell>
          <cell r="C3888" t="str">
            <v>M23</v>
          </cell>
        </row>
        <row r="3889">
          <cell r="B3889" t="str">
            <v>1101-1E90163EN</v>
          </cell>
          <cell r="C3889" t="str">
            <v>M23</v>
          </cell>
        </row>
        <row r="3890">
          <cell r="B3890" t="str">
            <v>1102-1030096/MX</v>
          </cell>
          <cell r="C3890" t="str">
            <v>M23</v>
          </cell>
        </row>
        <row r="3891">
          <cell r="B3891" t="str">
            <v>1102-1060016/MX</v>
          </cell>
          <cell r="C3891" t="str">
            <v>M23</v>
          </cell>
        </row>
        <row r="3892">
          <cell r="B3892" t="str">
            <v>1104-1030063EN</v>
          </cell>
          <cell r="C3892" t="str">
            <v>M23</v>
          </cell>
        </row>
        <row r="3893">
          <cell r="B3893" t="str">
            <v>1104-1060067EN</v>
          </cell>
          <cell r="C3893" t="str">
            <v>M23</v>
          </cell>
        </row>
        <row r="3894">
          <cell r="B3894" t="str">
            <v>1108-1030054EN</v>
          </cell>
          <cell r="C3894" t="str">
            <v>M23</v>
          </cell>
        </row>
        <row r="3895">
          <cell r="B3895" t="str">
            <v>1109-1060001EN</v>
          </cell>
          <cell r="C3895" t="str">
            <v>M23</v>
          </cell>
        </row>
        <row r="3896">
          <cell r="B3896" t="str">
            <v>1109-1060020EN</v>
          </cell>
          <cell r="C3896" t="str">
            <v>M23</v>
          </cell>
        </row>
        <row r="3897">
          <cell r="B3897" t="str">
            <v>1109-1060034EN</v>
          </cell>
          <cell r="C3897" t="str">
            <v>M23</v>
          </cell>
        </row>
        <row r="3898">
          <cell r="B3898" t="str">
            <v>1110-1030087EN</v>
          </cell>
          <cell r="C3898" t="str">
            <v>M23</v>
          </cell>
        </row>
        <row r="3899">
          <cell r="B3899" t="str">
            <v>1110-1060119-56EN</v>
          </cell>
          <cell r="C3899" t="str">
            <v>M23</v>
          </cell>
        </row>
        <row r="3900">
          <cell r="B3900" t="str">
            <v>1110-1120013EN</v>
          </cell>
          <cell r="C3900" t="str">
            <v>M23</v>
          </cell>
        </row>
        <row r="3901">
          <cell r="B3901" t="str">
            <v>1110-1E90022EN</v>
          </cell>
          <cell r="C3901" t="str">
            <v>M23</v>
          </cell>
        </row>
        <row r="3902">
          <cell r="B3902" t="str">
            <v>1110-1E90024EN</v>
          </cell>
          <cell r="C3902" t="str">
            <v>M23</v>
          </cell>
        </row>
        <row r="3903">
          <cell r="B3903" t="str">
            <v>1121-1030608/MX</v>
          </cell>
          <cell r="C3903" t="str">
            <v>M23</v>
          </cell>
        </row>
        <row r="3904">
          <cell r="B3904" t="str">
            <v>1121-1060867/MX</v>
          </cell>
          <cell r="C3904" t="str">
            <v>M23</v>
          </cell>
        </row>
        <row r="3905">
          <cell r="B3905" t="str">
            <v>1127-1020056EN</v>
          </cell>
          <cell r="C3905" t="str">
            <v>M23</v>
          </cell>
        </row>
        <row r="3906">
          <cell r="B3906" t="str">
            <v>1127-1120067</v>
          </cell>
          <cell r="C3906" t="str">
            <v>M23</v>
          </cell>
        </row>
        <row r="3907">
          <cell r="B3907" t="str">
            <v>1127-1E90096</v>
          </cell>
          <cell r="C3907" t="str">
            <v>M23</v>
          </cell>
        </row>
        <row r="3908">
          <cell r="B3908" t="str">
            <v>1132-1E90043</v>
          </cell>
          <cell r="C3908" t="str">
            <v>M23</v>
          </cell>
        </row>
        <row r="3909">
          <cell r="B3909" t="str">
            <v>1200-1030785EN</v>
          </cell>
          <cell r="C3909" t="str">
            <v>M23</v>
          </cell>
        </row>
        <row r="3910">
          <cell r="B3910" t="str">
            <v>1200-1030847AN</v>
          </cell>
          <cell r="C3910" t="str">
            <v>M23</v>
          </cell>
        </row>
        <row r="3911">
          <cell r="B3911" t="str">
            <v>1200-1060863EN</v>
          </cell>
          <cell r="C3911" t="str">
            <v>M23</v>
          </cell>
        </row>
        <row r="3912">
          <cell r="B3912" t="str">
            <v>1200-1060890/MX</v>
          </cell>
          <cell r="C3912" t="str">
            <v>M23</v>
          </cell>
        </row>
        <row r="3913">
          <cell r="B3913" t="str">
            <v>1200-1060897EN</v>
          </cell>
          <cell r="C3913" t="str">
            <v>M23</v>
          </cell>
        </row>
        <row r="3914">
          <cell r="B3914" t="str">
            <v>1200-1060969EN</v>
          </cell>
          <cell r="C3914" t="str">
            <v>M23</v>
          </cell>
        </row>
        <row r="3915">
          <cell r="B3915" t="str">
            <v>1200-1060992EN</v>
          </cell>
          <cell r="C3915" t="str">
            <v>M23</v>
          </cell>
        </row>
        <row r="3916">
          <cell r="B3916" t="str">
            <v>1200-1120060</v>
          </cell>
          <cell r="C3916" t="str">
            <v>M23</v>
          </cell>
        </row>
        <row r="3917">
          <cell r="B3917" t="str">
            <v>1201-1060219-92EN</v>
          </cell>
          <cell r="C3917" t="str">
            <v>M23</v>
          </cell>
        </row>
        <row r="3918">
          <cell r="B3918" t="str">
            <v>1201-1120200EN</v>
          </cell>
          <cell r="C3918" t="str">
            <v>M23</v>
          </cell>
        </row>
        <row r="3919">
          <cell r="B3919" t="str">
            <v>1201-1120202</v>
          </cell>
          <cell r="C3919" t="str">
            <v>M23</v>
          </cell>
        </row>
        <row r="3920">
          <cell r="B3920" t="str">
            <v>1201-1120203</v>
          </cell>
          <cell r="C3920" t="str">
            <v>M23</v>
          </cell>
        </row>
        <row r="3921">
          <cell r="B3921" t="str">
            <v>1201-1E90108</v>
          </cell>
          <cell r="C3921" t="str">
            <v>M23</v>
          </cell>
        </row>
        <row r="3922">
          <cell r="B3922" t="str">
            <v>1201-1E90156EN</v>
          </cell>
          <cell r="C3922" t="str">
            <v>M23</v>
          </cell>
        </row>
        <row r="3923">
          <cell r="B3923" t="str">
            <v>1201-3120008</v>
          </cell>
          <cell r="C3923" t="str">
            <v>M23</v>
          </cell>
        </row>
        <row r="3924">
          <cell r="B3924" t="str">
            <v>1201-3120011</v>
          </cell>
          <cell r="C3924" t="str">
            <v>M23</v>
          </cell>
        </row>
        <row r="3925">
          <cell r="B3925" t="str">
            <v>1201-3120015</v>
          </cell>
          <cell r="C3925" t="str">
            <v>M23</v>
          </cell>
        </row>
        <row r="3926">
          <cell r="B3926" t="str">
            <v>1202-1060185-72EN</v>
          </cell>
          <cell r="C3926" t="str">
            <v>M23</v>
          </cell>
        </row>
        <row r="3927">
          <cell r="B3927" t="str">
            <v>1202-1E90011</v>
          </cell>
          <cell r="C3927" t="str">
            <v>M23</v>
          </cell>
        </row>
        <row r="3928">
          <cell r="B3928" t="str">
            <v>1202-3120005</v>
          </cell>
          <cell r="C3928" t="str">
            <v>M23</v>
          </cell>
        </row>
        <row r="3929">
          <cell r="B3929" t="str">
            <v>1202-3120006</v>
          </cell>
          <cell r="C3929" t="str">
            <v>M23</v>
          </cell>
        </row>
        <row r="3930">
          <cell r="B3930" t="str">
            <v>1204-1120014</v>
          </cell>
          <cell r="C3930" t="str">
            <v>M23</v>
          </cell>
        </row>
        <row r="3931">
          <cell r="B3931" t="str">
            <v>1205-1060381EN</v>
          </cell>
          <cell r="C3931" t="str">
            <v>M23</v>
          </cell>
        </row>
        <row r="3932">
          <cell r="B3932" t="str">
            <v>1252-1060157EN</v>
          </cell>
          <cell r="C3932" t="str">
            <v>M23</v>
          </cell>
        </row>
        <row r="3933">
          <cell r="B3933" t="str">
            <v>1263-1030033EN</v>
          </cell>
          <cell r="C3933" t="str">
            <v>M23</v>
          </cell>
        </row>
        <row r="3934">
          <cell r="B3934" t="str">
            <v>1263-1060015EN</v>
          </cell>
          <cell r="C3934" t="str">
            <v>M23</v>
          </cell>
        </row>
        <row r="3935">
          <cell r="B3935" t="str">
            <v>1263-1120042EN</v>
          </cell>
          <cell r="C3935" t="str">
            <v>M23</v>
          </cell>
        </row>
        <row r="3936">
          <cell r="B3936" t="str">
            <v>1271-1060194/MX</v>
          </cell>
          <cell r="C3936" t="str">
            <v>M23</v>
          </cell>
        </row>
        <row r="3937">
          <cell r="B3937" t="str">
            <v>1275-31E0001</v>
          </cell>
          <cell r="C3937" t="str">
            <v>M23</v>
          </cell>
        </row>
        <row r="3938">
          <cell r="B3938" t="str">
            <v>1275-31E0002</v>
          </cell>
          <cell r="C3938" t="str">
            <v>M23</v>
          </cell>
        </row>
        <row r="3939">
          <cell r="B3939" t="str">
            <v>1275-3E90002</v>
          </cell>
          <cell r="C3939" t="str">
            <v>M23</v>
          </cell>
        </row>
        <row r="3940">
          <cell r="B3940" t="str">
            <v>1293-1060012EN</v>
          </cell>
          <cell r="C3940" t="str">
            <v>M23</v>
          </cell>
        </row>
        <row r="3941">
          <cell r="B3941" t="str">
            <v>1293-1060014EN</v>
          </cell>
          <cell r="C3941" t="str">
            <v>M23</v>
          </cell>
        </row>
        <row r="3942">
          <cell r="B3942" t="str">
            <v>1300-1030571EN</v>
          </cell>
          <cell r="C3942" t="str">
            <v>M23</v>
          </cell>
        </row>
        <row r="3943">
          <cell r="B3943" t="str">
            <v>1300-1060718/MX</v>
          </cell>
          <cell r="C3943" t="str">
            <v>M23</v>
          </cell>
        </row>
        <row r="3944">
          <cell r="B3944" t="str">
            <v>1300-1120080</v>
          </cell>
          <cell r="C3944" t="str">
            <v>M23</v>
          </cell>
        </row>
        <row r="3945">
          <cell r="B3945" t="str">
            <v>1301-1060621-93/MX</v>
          </cell>
          <cell r="C3945" t="str">
            <v>M23</v>
          </cell>
        </row>
        <row r="3946">
          <cell r="B3946" t="str">
            <v>1301-1120169EN</v>
          </cell>
          <cell r="C3946" t="str">
            <v>M23</v>
          </cell>
        </row>
        <row r="3947">
          <cell r="B3947" t="str">
            <v>1307-1060077EN</v>
          </cell>
          <cell r="C3947" t="str">
            <v>M23</v>
          </cell>
        </row>
        <row r="3948">
          <cell r="B3948" t="str">
            <v>1308-0065000EN</v>
          </cell>
          <cell r="C3948" t="str">
            <v>M23</v>
          </cell>
        </row>
        <row r="3949">
          <cell r="B3949" t="str">
            <v>1318-1120110EN</v>
          </cell>
          <cell r="C3949" t="str">
            <v>M23</v>
          </cell>
        </row>
        <row r="3950">
          <cell r="B3950" t="str">
            <v>1318-1120121EN</v>
          </cell>
          <cell r="C3950" t="str">
            <v>M23</v>
          </cell>
        </row>
        <row r="3951">
          <cell r="B3951" t="str">
            <v>1318-1120127EN</v>
          </cell>
          <cell r="C3951" t="str">
            <v>M23</v>
          </cell>
        </row>
        <row r="3952">
          <cell r="B3952" t="str">
            <v>1318-1E90094</v>
          </cell>
          <cell r="C3952" t="str">
            <v>M23</v>
          </cell>
        </row>
        <row r="3953">
          <cell r="B3953" t="str">
            <v>1318-1E90099EN</v>
          </cell>
          <cell r="C3953" t="str">
            <v>M23</v>
          </cell>
        </row>
        <row r="3954">
          <cell r="B3954" t="str">
            <v>1318-1E90156EN</v>
          </cell>
          <cell r="C3954" t="str">
            <v>M23</v>
          </cell>
        </row>
        <row r="3955">
          <cell r="B3955" t="str">
            <v>1318-1E90157EN</v>
          </cell>
          <cell r="C3955" t="str">
            <v>M23</v>
          </cell>
        </row>
        <row r="3956">
          <cell r="B3956" t="str">
            <v>1318-1E90221EN</v>
          </cell>
          <cell r="C3956" t="str">
            <v>M23</v>
          </cell>
        </row>
        <row r="3957">
          <cell r="B3957" t="str">
            <v>1318-3E90001EN</v>
          </cell>
          <cell r="C3957" t="str">
            <v>M23</v>
          </cell>
        </row>
        <row r="3958">
          <cell r="B3958" t="str">
            <v>1339-1120048</v>
          </cell>
          <cell r="C3958" t="str">
            <v>M23</v>
          </cell>
        </row>
        <row r="3959">
          <cell r="B3959" t="str">
            <v>1339-1E90088EN</v>
          </cell>
          <cell r="C3959" t="str">
            <v>M23</v>
          </cell>
        </row>
        <row r="3960">
          <cell r="B3960" t="str">
            <v>1346-1120059EN</v>
          </cell>
          <cell r="C3960" t="str">
            <v>M23</v>
          </cell>
        </row>
        <row r="3961">
          <cell r="B3961" t="str">
            <v>1346-1120062EN</v>
          </cell>
          <cell r="C3961" t="str">
            <v>M23</v>
          </cell>
        </row>
        <row r="3962">
          <cell r="B3962" t="str">
            <v>1346-1E90202</v>
          </cell>
          <cell r="C3962" t="str">
            <v>M23</v>
          </cell>
        </row>
        <row r="3963">
          <cell r="B3963" t="str">
            <v>1346-1E90203</v>
          </cell>
          <cell r="C3963" t="str">
            <v>M23</v>
          </cell>
        </row>
        <row r="3964">
          <cell r="B3964" t="str">
            <v>1391-1120062EN</v>
          </cell>
          <cell r="C3964" t="str">
            <v>M23</v>
          </cell>
        </row>
        <row r="3965">
          <cell r="B3965" t="str">
            <v>1391-1120068EN</v>
          </cell>
          <cell r="C3965" t="str">
            <v>M23</v>
          </cell>
        </row>
        <row r="3966">
          <cell r="B3966" t="str">
            <v>1391-1E90033</v>
          </cell>
          <cell r="C3966" t="str">
            <v>M23</v>
          </cell>
        </row>
        <row r="3967">
          <cell r="B3967" t="str">
            <v>1400-1120023</v>
          </cell>
          <cell r="C3967" t="str">
            <v>M23</v>
          </cell>
        </row>
        <row r="3968">
          <cell r="B3968" t="str">
            <v>1400-1120086</v>
          </cell>
          <cell r="C3968" t="str">
            <v>M23</v>
          </cell>
        </row>
        <row r="3969">
          <cell r="B3969" t="str">
            <v>1400-1120105</v>
          </cell>
          <cell r="C3969" t="str">
            <v>M23</v>
          </cell>
        </row>
        <row r="3970">
          <cell r="B3970" t="str">
            <v>1401-1060029-92EN</v>
          </cell>
          <cell r="C3970" t="str">
            <v>M23</v>
          </cell>
        </row>
        <row r="3971">
          <cell r="B3971" t="str">
            <v>1401-1060059-92EN</v>
          </cell>
          <cell r="C3971" t="str">
            <v>M23</v>
          </cell>
        </row>
        <row r="3972">
          <cell r="B3972" t="str">
            <v>1410-1120021</v>
          </cell>
          <cell r="C3972" t="str">
            <v>M23</v>
          </cell>
        </row>
        <row r="3973">
          <cell r="B3973" t="str">
            <v>1410-1120022</v>
          </cell>
          <cell r="C3973" t="str">
            <v>M23</v>
          </cell>
        </row>
        <row r="3974">
          <cell r="B3974" t="str">
            <v>1414-3E90005</v>
          </cell>
          <cell r="C3974" t="str">
            <v>M23</v>
          </cell>
        </row>
        <row r="3975">
          <cell r="B3975" t="str">
            <v>1414-5YY0121</v>
          </cell>
          <cell r="C3975" t="str">
            <v>M23</v>
          </cell>
        </row>
        <row r="3976">
          <cell r="B3976" t="str">
            <v>1414-M020001</v>
          </cell>
          <cell r="C3976" t="str">
            <v>M23</v>
          </cell>
        </row>
        <row r="3977">
          <cell r="B3977" t="str">
            <v>1415-1030797EN</v>
          </cell>
          <cell r="C3977" t="str">
            <v>M23</v>
          </cell>
        </row>
        <row r="3978">
          <cell r="B3978" t="str">
            <v>1415-1060678EN</v>
          </cell>
          <cell r="C3978" t="str">
            <v>M23</v>
          </cell>
        </row>
        <row r="3979">
          <cell r="B3979" t="str">
            <v>1415-1060749EN</v>
          </cell>
          <cell r="C3979" t="str">
            <v>M23</v>
          </cell>
        </row>
        <row r="3980">
          <cell r="B3980" t="str">
            <v>1415-1061210EN</v>
          </cell>
          <cell r="C3980" t="str">
            <v>M23</v>
          </cell>
        </row>
        <row r="3981">
          <cell r="B3981" t="str">
            <v>1420-1120012</v>
          </cell>
          <cell r="C3981" t="str">
            <v>M23</v>
          </cell>
        </row>
        <row r="3982">
          <cell r="B3982" t="str">
            <v>1420-1E90020</v>
          </cell>
          <cell r="C3982" t="str">
            <v>M23</v>
          </cell>
        </row>
        <row r="3983">
          <cell r="B3983" t="str">
            <v>1420-1E90023</v>
          </cell>
          <cell r="C3983" t="str">
            <v>M23</v>
          </cell>
        </row>
        <row r="3984">
          <cell r="B3984" t="str">
            <v>1420-1E90025</v>
          </cell>
          <cell r="C3984" t="str">
            <v>M23</v>
          </cell>
        </row>
        <row r="3985">
          <cell r="B3985" t="str">
            <v>1420-3120003</v>
          </cell>
          <cell r="C3985" t="str">
            <v>M23</v>
          </cell>
        </row>
        <row r="3986">
          <cell r="B3986" t="str">
            <v>1420-3120008</v>
          </cell>
          <cell r="C3986" t="str">
            <v>M23</v>
          </cell>
        </row>
        <row r="3987">
          <cell r="B3987" t="str">
            <v>1420-3120010</v>
          </cell>
          <cell r="C3987" t="str">
            <v>M23</v>
          </cell>
        </row>
        <row r="3988">
          <cell r="B3988" t="str">
            <v>1420-3120011</v>
          </cell>
          <cell r="C3988" t="str">
            <v>M23</v>
          </cell>
        </row>
        <row r="3989">
          <cell r="B3989" t="str">
            <v>1420-3120012</v>
          </cell>
          <cell r="C3989" t="str">
            <v>M23</v>
          </cell>
        </row>
        <row r="3990">
          <cell r="B3990" t="str">
            <v>1420-3120019</v>
          </cell>
          <cell r="C3990" t="str">
            <v>M23</v>
          </cell>
        </row>
        <row r="3991">
          <cell r="B3991" t="str">
            <v>1420-3120020</v>
          </cell>
          <cell r="C3991" t="str">
            <v>M23</v>
          </cell>
        </row>
        <row r="3992">
          <cell r="B3992" t="str">
            <v>1420-3130002</v>
          </cell>
          <cell r="C3992" t="str">
            <v>M23</v>
          </cell>
        </row>
        <row r="3993">
          <cell r="B3993" t="str">
            <v>1420-3E90001</v>
          </cell>
          <cell r="C3993" t="str">
            <v>M23</v>
          </cell>
        </row>
        <row r="3994">
          <cell r="B3994" t="str">
            <v>1420-3E90021</v>
          </cell>
          <cell r="C3994" t="str">
            <v>M23</v>
          </cell>
        </row>
        <row r="3995">
          <cell r="B3995" t="str">
            <v>1444-3120002</v>
          </cell>
          <cell r="C3995" t="str">
            <v>M23</v>
          </cell>
        </row>
        <row r="3996">
          <cell r="B3996" t="str">
            <v>1458-1120062</v>
          </cell>
          <cell r="C3996" t="str">
            <v>M23</v>
          </cell>
        </row>
        <row r="3997">
          <cell r="B3997" t="str">
            <v>1458-1120070</v>
          </cell>
          <cell r="C3997" t="str">
            <v>M23</v>
          </cell>
        </row>
        <row r="3998">
          <cell r="B3998" t="str">
            <v>1458-1E90053</v>
          </cell>
          <cell r="C3998" t="str">
            <v>M23</v>
          </cell>
        </row>
        <row r="3999">
          <cell r="B3999" t="str">
            <v>1458-1E90104</v>
          </cell>
          <cell r="C3999" t="str">
            <v>M23</v>
          </cell>
        </row>
        <row r="4000">
          <cell r="B4000" t="str">
            <v>1459-1120017EN</v>
          </cell>
          <cell r="C4000" t="str">
            <v>M23</v>
          </cell>
        </row>
        <row r="4001">
          <cell r="B4001" t="str">
            <v>1459-1E90031EN</v>
          </cell>
          <cell r="C4001" t="str">
            <v>M23</v>
          </cell>
        </row>
        <row r="4002">
          <cell r="B4002" t="str">
            <v>1459-1E90053EN</v>
          </cell>
          <cell r="C4002" t="str">
            <v>M23</v>
          </cell>
        </row>
        <row r="4003">
          <cell r="B4003" t="str">
            <v>1460-1120027</v>
          </cell>
          <cell r="C4003" t="str">
            <v>M23</v>
          </cell>
        </row>
        <row r="4004">
          <cell r="B4004" t="str">
            <v>1460-1120096</v>
          </cell>
          <cell r="C4004" t="str">
            <v>M23</v>
          </cell>
        </row>
        <row r="4005">
          <cell r="B4005" t="str">
            <v>1460-1120097</v>
          </cell>
          <cell r="C4005" t="str">
            <v>M23</v>
          </cell>
        </row>
        <row r="4006">
          <cell r="B4006" t="str">
            <v>1460-1E90025</v>
          </cell>
          <cell r="C4006" t="str">
            <v>M23</v>
          </cell>
        </row>
        <row r="4007">
          <cell r="B4007" t="str">
            <v>1460-1E90026</v>
          </cell>
          <cell r="C4007" t="str">
            <v>M23</v>
          </cell>
        </row>
        <row r="4008">
          <cell r="B4008" t="str">
            <v>1474-1YY0017</v>
          </cell>
          <cell r="C4008" t="str">
            <v>M23</v>
          </cell>
        </row>
        <row r="4009">
          <cell r="B4009" t="str">
            <v>1474-1YY0017EN</v>
          </cell>
          <cell r="C4009" t="str">
            <v>M23</v>
          </cell>
        </row>
        <row r="4010">
          <cell r="B4010" t="str">
            <v>1484-1120030</v>
          </cell>
          <cell r="C4010" t="str">
            <v>M23</v>
          </cell>
        </row>
        <row r="4011">
          <cell r="B4011" t="str">
            <v>1484-1120098</v>
          </cell>
          <cell r="C4011" t="str">
            <v>M23</v>
          </cell>
        </row>
        <row r="4012">
          <cell r="B4012" t="str">
            <v>1484-1E90030</v>
          </cell>
          <cell r="C4012" t="str">
            <v>M23</v>
          </cell>
        </row>
        <row r="4013">
          <cell r="B4013" t="str">
            <v>1500-1030514</v>
          </cell>
          <cell r="C4013" t="str">
            <v>M23</v>
          </cell>
        </row>
        <row r="4014">
          <cell r="B4014" t="str">
            <v>1500-1060284</v>
          </cell>
          <cell r="C4014" t="str">
            <v>M23</v>
          </cell>
        </row>
        <row r="4015">
          <cell r="B4015" t="str">
            <v>1500-1060557</v>
          </cell>
          <cell r="C4015" t="str">
            <v>M23</v>
          </cell>
        </row>
        <row r="4016">
          <cell r="B4016" t="str">
            <v>1500-1060559</v>
          </cell>
          <cell r="C4016" t="str">
            <v>M23</v>
          </cell>
        </row>
        <row r="4017">
          <cell r="B4017" t="str">
            <v>1500-1120073</v>
          </cell>
          <cell r="C4017" t="str">
            <v>M23</v>
          </cell>
        </row>
        <row r="4018">
          <cell r="B4018" t="str">
            <v>1500-1E90048</v>
          </cell>
          <cell r="C4018" t="str">
            <v>M23</v>
          </cell>
        </row>
        <row r="4019">
          <cell r="B4019" t="str">
            <v>1500-1YY1708</v>
          </cell>
          <cell r="C4019" t="str">
            <v>M23</v>
          </cell>
        </row>
        <row r="4020">
          <cell r="B4020" t="str">
            <v>1500-1YY1709</v>
          </cell>
          <cell r="C4020" t="str">
            <v>M23</v>
          </cell>
        </row>
        <row r="4021">
          <cell r="B4021" t="str">
            <v>1500-1YY1710</v>
          </cell>
          <cell r="C4021" t="str">
            <v>M23</v>
          </cell>
        </row>
        <row r="4022">
          <cell r="B4022" t="str">
            <v>1500-1YY1711</v>
          </cell>
          <cell r="C4022" t="str">
            <v>M23</v>
          </cell>
        </row>
        <row r="4023">
          <cell r="B4023" t="str">
            <v>1500-1YY1721</v>
          </cell>
          <cell r="C4023" t="str">
            <v>M23</v>
          </cell>
        </row>
        <row r="4024">
          <cell r="B4024" t="str">
            <v>1500-1YY1722</v>
          </cell>
          <cell r="C4024" t="str">
            <v>M23</v>
          </cell>
        </row>
        <row r="4025">
          <cell r="B4025" t="str">
            <v>1500-1YY1779</v>
          </cell>
          <cell r="C4025" t="str">
            <v>M23</v>
          </cell>
        </row>
        <row r="4026">
          <cell r="B4026" t="str">
            <v>1503-1060052</v>
          </cell>
          <cell r="C4026" t="str">
            <v>M23</v>
          </cell>
        </row>
        <row r="4027">
          <cell r="B4027" t="str">
            <v>1504-1030168</v>
          </cell>
          <cell r="C4027" t="str">
            <v>M23</v>
          </cell>
        </row>
        <row r="4028">
          <cell r="B4028" t="str">
            <v>1504-1YY0574</v>
          </cell>
          <cell r="C4028" t="str">
            <v>M23</v>
          </cell>
        </row>
        <row r="4029">
          <cell r="B4029" t="str">
            <v>1504-1YY0575</v>
          </cell>
          <cell r="C4029" t="str">
            <v>M23</v>
          </cell>
        </row>
        <row r="4030">
          <cell r="B4030" t="str">
            <v>1504-1YY0576</v>
          </cell>
          <cell r="C4030" t="str">
            <v>M23</v>
          </cell>
        </row>
        <row r="4031">
          <cell r="B4031" t="str">
            <v>1504-1YY0577</v>
          </cell>
          <cell r="C4031" t="str">
            <v>M23</v>
          </cell>
        </row>
        <row r="4032">
          <cell r="B4032" t="str">
            <v>1504-1YY0581</v>
          </cell>
          <cell r="C4032" t="str">
            <v>M23</v>
          </cell>
        </row>
        <row r="4033">
          <cell r="B4033" t="str">
            <v>1504-1YY0582</v>
          </cell>
          <cell r="C4033" t="str">
            <v>M23</v>
          </cell>
        </row>
        <row r="4034">
          <cell r="B4034" t="str">
            <v>1504-1YY0583</v>
          </cell>
          <cell r="C4034" t="str">
            <v>M23</v>
          </cell>
        </row>
        <row r="4035">
          <cell r="B4035" t="str">
            <v>1504-1YY0611</v>
          </cell>
          <cell r="C4035" t="str">
            <v>M23</v>
          </cell>
        </row>
        <row r="4036">
          <cell r="B4036" t="str">
            <v>1533-1YY0017</v>
          </cell>
          <cell r="C4036" t="str">
            <v>M23</v>
          </cell>
        </row>
        <row r="4037">
          <cell r="B4037" t="str">
            <v>1533-1YY0036</v>
          </cell>
          <cell r="C4037" t="str">
            <v>M23</v>
          </cell>
        </row>
        <row r="4038">
          <cell r="B4038" t="str">
            <v>1539-1YY0047</v>
          </cell>
          <cell r="C4038" t="str">
            <v>M23</v>
          </cell>
        </row>
        <row r="4039">
          <cell r="B4039" t="str">
            <v>1560-1060006</v>
          </cell>
          <cell r="C4039" t="str">
            <v>M23</v>
          </cell>
        </row>
        <row r="4040">
          <cell r="B4040" t="str">
            <v>1572-1YY0054</v>
          </cell>
          <cell r="C4040" t="str">
            <v>M23</v>
          </cell>
        </row>
        <row r="4041">
          <cell r="B4041" t="str">
            <v>1572-1YY0055</v>
          </cell>
          <cell r="C4041" t="str">
            <v>M23</v>
          </cell>
        </row>
        <row r="4042">
          <cell r="B4042" t="str">
            <v>1606-1060179/MX</v>
          </cell>
          <cell r="C4042" t="str">
            <v>M23</v>
          </cell>
        </row>
        <row r="4043">
          <cell r="B4043" t="str">
            <v>1608-1060016/MX</v>
          </cell>
          <cell r="C4043" t="str">
            <v>M23</v>
          </cell>
        </row>
        <row r="4044">
          <cell r="B4044" t="str">
            <v>1663-1120026EN</v>
          </cell>
          <cell r="C4044" t="str">
            <v>M23</v>
          </cell>
        </row>
        <row r="4045">
          <cell r="B4045" t="str">
            <v>1663-1E90059EN</v>
          </cell>
          <cell r="C4045" t="str">
            <v>M23</v>
          </cell>
        </row>
        <row r="4046">
          <cell r="B4046" t="str">
            <v>1720-1E90011</v>
          </cell>
          <cell r="C4046" t="str">
            <v>M23</v>
          </cell>
        </row>
        <row r="4047">
          <cell r="B4047" t="str">
            <v>1908-1120001E1</v>
          </cell>
          <cell r="C4047" t="str">
            <v>M23</v>
          </cell>
        </row>
        <row r="4048">
          <cell r="B4048" t="str">
            <v>1908-1120001E2</v>
          </cell>
          <cell r="C4048" t="str">
            <v>M23</v>
          </cell>
        </row>
        <row r="4049">
          <cell r="B4049" t="str">
            <v>1908-1120001R1</v>
          </cell>
          <cell r="C4049" t="str">
            <v>M23</v>
          </cell>
        </row>
        <row r="4050">
          <cell r="B4050" t="str">
            <v>1908-1120001E3</v>
          </cell>
          <cell r="C4050" t="str">
            <v>M23</v>
          </cell>
        </row>
        <row r="4051">
          <cell r="B4051" t="str">
            <v>1908-1120001E4</v>
          </cell>
          <cell r="C4051" t="str">
            <v>M23</v>
          </cell>
        </row>
        <row r="4052">
          <cell r="B4052" t="str">
            <v>1908-1120001E5</v>
          </cell>
          <cell r="C4052" t="str">
            <v>M23</v>
          </cell>
        </row>
        <row r="4053">
          <cell r="B4053" t="str">
            <v>1908-1120008E1</v>
          </cell>
          <cell r="C4053" t="str">
            <v>M23</v>
          </cell>
        </row>
        <row r="4054">
          <cell r="B4054" t="str">
            <v>1908-1120008EN</v>
          </cell>
          <cell r="C4054" t="str">
            <v>M23</v>
          </cell>
        </row>
        <row r="4055">
          <cell r="B4055" t="str">
            <v>1908-1120092LN</v>
          </cell>
          <cell r="C4055" t="str">
            <v>M23</v>
          </cell>
        </row>
        <row r="4056">
          <cell r="B4056" t="str">
            <v>1908-1120093EN</v>
          </cell>
          <cell r="C4056" t="str">
            <v>M23</v>
          </cell>
        </row>
        <row r="4057">
          <cell r="B4057" t="str">
            <v>1908-1120117EN</v>
          </cell>
          <cell r="C4057" t="str">
            <v>M23</v>
          </cell>
        </row>
        <row r="4058">
          <cell r="B4058" t="str">
            <v>1908-1120119EN</v>
          </cell>
          <cell r="C4058" t="str">
            <v>M23</v>
          </cell>
        </row>
        <row r="4059">
          <cell r="B4059" t="str">
            <v>1908-1120126</v>
          </cell>
          <cell r="C4059" t="str">
            <v>M23</v>
          </cell>
        </row>
        <row r="4060">
          <cell r="B4060" t="str">
            <v>1908-1120127</v>
          </cell>
          <cell r="C4060" t="str">
            <v>M23</v>
          </cell>
        </row>
        <row r="4061">
          <cell r="B4061" t="str">
            <v>1908-1120132</v>
          </cell>
          <cell r="C4061" t="str">
            <v>M23</v>
          </cell>
        </row>
        <row r="4062">
          <cell r="B4062" t="str">
            <v>1908-1120133</v>
          </cell>
          <cell r="C4062" t="str">
            <v>M23</v>
          </cell>
        </row>
        <row r="4063">
          <cell r="B4063" t="str">
            <v>1908-1120134</v>
          </cell>
          <cell r="C4063" t="str">
            <v>M23</v>
          </cell>
        </row>
        <row r="4064">
          <cell r="B4064" t="str">
            <v>1908-1E90003E1</v>
          </cell>
          <cell r="C4064" t="str">
            <v>M23</v>
          </cell>
        </row>
        <row r="4065">
          <cell r="B4065" t="str">
            <v>1908-1E90003E3</v>
          </cell>
          <cell r="C4065" t="str">
            <v>M23</v>
          </cell>
        </row>
        <row r="4066">
          <cell r="B4066" t="str">
            <v>1908-1E90003E4</v>
          </cell>
          <cell r="C4066" t="str">
            <v>M23</v>
          </cell>
        </row>
        <row r="4067">
          <cell r="B4067" t="str">
            <v>1908-1E90003EN</v>
          </cell>
          <cell r="C4067" t="str">
            <v>M23</v>
          </cell>
        </row>
        <row r="4068">
          <cell r="B4068" t="str">
            <v>1908-1E90003R1</v>
          </cell>
          <cell r="C4068" t="str">
            <v>M23</v>
          </cell>
        </row>
        <row r="4069">
          <cell r="B4069" t="str">
            <v>1908-1E90003RN</v>
          </cell>
          <cell r="C4069" t="str">
            <v>M23</v>
          </cell>
        </row>
        <row r="4070">
          <cell r="B4070" t="str">
            <v>1908-1E90008E1</v>
          </cell>
          <cell r="C4070" t="str">
            <v>M23</v>
          </cell>
        </row>
        <row r="4071">
          <cell r="B4071" t="str">
            <v>1908-1E90008E3</v>
          </cell>
          <cell r="C4071" t="str">
            <v>M23</v>
          </cell>
        </row>
        <row r="4072">
          <cell r="B4072" t="str">
            <v>1908-1E90008E4</v>
          </cell>
          <cell r="C4072" t="str">
            <v>M23</v>
          </cell>
        </row>
        <row r="4073">
          <cell r="B4073" t="str">
            <v>1908-1E90008EN</v>
          </cell>
          <cell r="C4073" t="str">
            <v>M23</v>
          </cell>
        </row>
        <row r="4074">
          <cell r="B4074" t="str">
            <v>1908-1E90008R1</v>
          </cell>
          <cell r="C4074" t="str">
            <v>M23</v>
          </cell>
        </row>
        <row r="4075">
          <cell r="B4075" t="str">
            <v>1908-1E90008RN</v>
          </cell>
          <cell r="C4075" t="str">
            <v>M23</v>
          </cell>
        </row>
        <row r="4076">
          <cell r="B4076" t="str">
            <v>1908-1E90009E1</v>
          </cell>
          <cell r="C4076" t="str">
            <v>M23</v>
          </cell>
        </row>
        <row r="4077">
          <cell r="B4077" t="str">
            <v>1908-1E90009E3</v>
          </cell>
          <cell r="C4077" t="str">
            <v>M23</v>
          </cell>
        </row>
        <row r="4078">
          <cell r="B4078" t="str">
            <v>1908-1E90009E4</v>
          </cell>
          <cell r="C4078" t="str">
            <v>M23</v>
          </cell>
        </row>
        <row r="4079">
          <cell r="B4079" t="str">
            <v>1908-1E90138EN</v>
          </cell>
          <cell r="C4079" t="str">
            <v>M23</v>
          </cell>
        </row>
        <row r="4080">
          <cell r="B4080" t="str">
            <v>1908-1E90143EN</v>
          </cell>
          <cell r="C4080" t="str">
            <v>M23</v>
          </cell>
        </row>
        <row r="4081">
          <cell r="B4081" t="str">
            <v>1908-1E90182</v>
          </cell>
          <cell r="C4081" t="str">
            <v>M23</v>
          </cell>
        </row>
        <row r="4082">
          <cell r="B4082" t="str">
            <v>1908-1E90189</v>
          </cell>
          <cell r="C4082" t="str">
            <v>M23</v>
          </cell>
        </row>
        <row r="4083">
          <cell r="B4083" t="str">
            <v>1908-1E90190</v>
          </cell>
          <cell r="C4083" t="str">
            <v>M23</v>
          </cell>
        </row>
        <row r="4084">
          <cell r="B4084" t="str">
            <v>1908-1E90191</v>
          </cell>
          <cell r="C4084" t="str">
            <v>M23</v>
          </cell>
        </row>
        <row r="4085">
          <cell r="B4085" t="str">
            <v>1908-1E90192</v>
          </cell>
          <cell r="C4085" t="str">
            <v>M23</v>
          </cell>
        </row>
        <row r="4086">
          <cell r="B4086" t="str">
            <v>1908-1E90193</v>
          </cell>
          <cell r="C4086" t="str">
            <v>M23</v>
          </cell>
        </row>
        <row r="4087">
          <cell r="B4087" t="str">
            <v>1908-1E90194</v>
          </cell>
          <cell r="C4087" t="str">
            <v>M23</v>
          </cell>
        </row>
        <row r="4088">
          <cell r="B4088" t="str">
            <v>1908-1E90195</v>
          </cell>
          <cell r="C4088" t="str">
            <v>M23</v>
          </cell>
        </row>
        <row r="4089">
          <cell r="B4089" t="str">
            <v>1908-1E90199</v>
          </cell>
          <cell r="C4089" t="str">
            <v>M23</v>
          </cell>
        </row>
        <row r="4090">
          <cell r="B4090" t="str">
            <v>1908-1E90249</v>
          </cell>
          <cell r="C4090" t="str">
            <v>M23</v>
          </cell>
        </row>
        <row r="4091">
          <cell r="B4091" t="str">
            <v>1908-3120004E1</v>
          </cell>
          <cell r="C4091" t="str">
            <v>M23</v>
          </cell>
        </row>
        <row r="4092">
          <cell r="B4092" t="str">
            <v>1908-3120004E3</v>
          </cell>
          <cell r="C4092" t="str">
            <v>M23</v>
          </cell>
        </row>
        <row r="4093">
          <cell r="B4093" t="str">
            <v>1908-3120004E4</v>
          </cell>
          <cell r="C4093" t="str">
            <v>M23</v>
          </cell>
        </row>
        <row r="4094">
          <cell r="B4094" t="str">
            <v>1908-3120004EN</v>
          </cell>
          <cell r="C4094" t="str">
            <v>M23</v>
          </cell>
        </row>
        <row r="4095">
          <cell r="B4095" t="str">
            <v>1908-3120004R1</v>
          </cell>
          <cell r="C4095" t="str">
            <v>M23</v>
          </cell>
        </row>
        <row r="4096">
          <cell r="B4096" t="str">
            <v>1908-3120004RN</v>
          </cell>
          <cell r="C4096" t="str">
            <v>M23</v>
          </cell>
        </row>
        <row r="4097">
          <cell r="B4097" t="str">
            <v>1908-3120006E1</v>
          </cell>
          <cell r="C4097" t="str">
            <v>M23</v>
          </cell>
        </row>
        <row r="4098">
          <cell r="B4098" t="str">
            <v>1908-3120006E2</v>
          </cell>
          <cell r="C4098" t="str">
            <v>M23</v>
          </cell>
        </row>
        <row r="4099">
          <cell r="B4099" t="str">
            <v>1908-3120006E3</v>
          </cell>
          <cell r="C4099" t="str">
            <v>M23</v>
          </cell>
        </row>
        <row r="4100">
          <cell r="B4100" t="str">
            <v>1908-3120006E4</v>
          </cell>
          <cell r="C4100" t="str">
            <v>M23</v>
          </cell>
        </row>
        <row r="4101">
          <cell r="B4101" t="str">
            <v>1908-3120006E5</v>
          </cell>
          <cell r="C4101" t="str">
            <v>M23</v>
          </cell>
        </row>
        <row r="4102">
          <cell r="B4102" t="str">
            <v>1908-3120006EN</v>
          </cell>
          <cell r="C4102" t="str">
            <v>M23</v>
          </cell>
        </row>
        <row r="4103">
          <cell r="B4103" t="str">
            <v>1908-3120006R1</v>
          </cell>
          <cell r="C4103" t="str">
            <v>M23</v>
          </cell>
        </row>
        <row r="4104">
          <cell r="B4104" t="str">
            <v>1908-3120006RN</v>
          </cell>
          <cell r="C4104" t="str">
            <v>M23</v>
          </cell>
        </row>
        <row r="4105">
          <cell r="B4105" t="str">
            <v>1908-3120012A1</v>
          </cell>
          <cell r="C4105" t="str">
            <v>M23</v>
          </cell>
        </row>
        <row r="4106">
          <cell r="B4106" t="str">
            <v>1908-3120012A2</v>
          </cell>
          <cell r="C4106" t="str">
            <v>M23</v>
          </cell>
        </row>
        <row r="4107">
          <cell r="B4107" t="str">
            <v>1908-3120012AN</v>
          </cell>
          <cell r="C4107" t="str">
            <v>M23</v>
          </cell>
        </row>
        <row r="4108">
          <cell r="B4108" t="str">
            <v>1908-3120012E1</v>
          </cell>
          <cell r="C4108" t="str">
            <v>M23</v>
          </cell>
        </row>
        <row r="4109">
          <cell r="B4109" t="str">
            <v>1908-3120012E3</v>
          </cell>
          <cell r="C4109" t="str">
            <v>M23</v>
          </cell>
        </row>
        <row r="4110">
          <cell r="B4110" t="str">
            <v>1908-3120012E4</v>
          </cell>
          <cell r="C4110" t="str">
            <v>M23</v>
          </cell>
        </row>
        <row r="4111">
          <cell r="B4111" t="str">
            <v>1908-3120012EN</v>
          </cell>
          <cell r="C4111" t="str">
            <v>M23</v>
          </cell>
        </row>
        <row r="4112">
          <cell r="B4112" t="str">
            <v>1908-3120012R1</v>
          </cell>
          <cell r="C4112" t="str">
            <v>M23</v>
          </cell>
        </row>
        <row r="4113">
          <cell r="B4113" t="str">
            <v>1908-3120012RN</v>
          </cell>
          <cell r="C4113" t="str">
            <v>M23</v>
          </cell>
        </row>
        <row r="4114">
          <cell r="B4114" t="str">
            <v>1908-3120013A1</v>
          </cell>
          <cell r="C4114" t="str">
            <v>M23</v>
          </cell>
        </row>
        <row r="4115">
          <cell r="B4115" t="str">
            <v>1908-3120013A2</v>
          </cell>
          <cell r="C4115" t="str">
            <v>M23</v>
          </cell>
        </row>
        <row r="4116">
          <cell r="B4116" t="str">
            <v>1908-3120013AN</v>
          </cell>
          <cell r="C4116" t="str">
            <v>M23</v>
          </cell>
        </row>
        <row r="4117">
          <cell r="B4117" t="str">
            <v>1908-3120013E1</v>
          </cell>
          <cell r="C4117" t="str">
            <v>M23</v>
          </cell>
        </row>
        <row r="4118">
          <cell r="B4118" t="str">
            <v>1908-3120013E3</v>
          </cell>
          <cell r="C4118" t="str">
            <v>M23</v>
          </cell>
        </row>
        <row r="4119">
          <cell r="B4119" t="str">
            <v>1908-3120013E4</v>
          </cell>
          <cell r="C4119" t="str">
            <v>M23</v>
          </cell>
        </row>
        <row r="4120">
          <cell r="B4120" t="str">
            <v>1908-3120013EN</v>
          </cell>
          <cell r="C4120" t="str">
            <v>M23</v>
          </cell>
        </row>
        <row r="4121">
          <cell r="B4121" t="str">
            <v>1908-3120013R1</v>
          </cell>
          <cell r="C4121" t="str">
            <v>M23</v>
          </cell>
        </row>
        <row r="4122">
          <cell r="B4122" t="str">
            <v>1908-3120013RN</v>
          </cell>
          <cell r="C4122" t="str">
            <v>M23</v>
          </cell>
        </row>
        <row r="4123">
          <cell r="B4123" t="str">
            <v>1908-3120014A1</v>
          </cell>
          <cell r="C4123" t="str">
            <v>M23</v>
          </cell>
        </row>
        <row r="4124">
          <cell r="B4124" t="str">
            <v>1908-3120014A2</v>
          </cell>
          <cell r="C4124" t="str">
            <v>M23</v>
          </cell>
        </row>
        <row r="4125">
          <cell r="B4125" t="str">
            <v>1908-3120014AN</v>
          </cell>
          <cell r="C4125" t="str">
            <v>M23</v>
          </cell>
        </row>
        <row r="4126">
          <cell r="B4126" t="str">
            <v>1908-3120014E1</v>
          </cell>
          <cell r="C4126" t="str">
            <v>M23</v>
          </cell>
        </row>
        <row r="4127">
          <cell r="B4127" t="str">
            <v>1908-3120014E3</v>
          </cell>
          <cell r="C4127" t="str">
            <v>M23</v>
          </cell>
        </row>
        <row r="4128">
          <cell r="B4128" t="str">
            <v>1908-3120014E4</v>
          </cell>
          <cell r="C4128" t="str">
            <v>M23</v>
          </cell>
        </row>
        <row r="4129">
          <cell r="B4129" t="str">
            <v>1908-3120014EN</v>
          </cell>
          <cell r="C4129" t="str">
            <v>M23</v>
          </cell>
        </row>
        <row r="4130">
          <cell r="B4130" t="str">
            <v>1908-3120014R1</v>
          </cell>
          <cell r="C4130" t="str">
            <v>M23</v>
          </cell>
        </row>
        <row r="4131">
          <cell r="B4131" t="str">
            <v>1908-3120014RN</v>
          </cell>
          <cell r="C4131" t="str">
            <v>M23</v>
          </cell>
        </row>
        <row r="4132">
          <cell r="B4132" t="str">
            <v>1908-3E90002E1</v>
          </cell>
          <cell r="C4132" t="str">
            <v>M23</v>
          </cell>
        </row>
        <row r="4133">
          <cell r="B4133" t="str">
            <v>1908-3E90002E2</v>
          </cell>
          <cell r="C4133" t="str">
            <v>M23</v>
          </cell>
        </row>
        <row r="4134">
          <cell r="B4134" t="str">
            <v>1908-3E90002E3</v>
          </cell>
          <cell r="C4134" t="str">
            <v>M23</v>
          </cell>
        </row>
        <row r="4135">
          <cell r="B4135" t="str">
            <v>1908-3E90002E4</v>
          </cell>
          <cell r="C4135" t="str">
            <v>M23</v>
          </cell>
        </row>
        <row r="4136">
          <cell r="B4136" t="str">
            <v>1908-3E90002E5</v>
          </cell>
          <cell r="C4136" t="str">
            <v>M23</v>
          </cell>
        </row>
        <row r="4137">
          <cell r="B4137" t="str">
            <v>1908-3E90002EN</v>
          </cell>
          <cell r="C4137" t="str">
            <v>M23</v>
          </cell>
        </row>
        <row r="4138">
          <cell r="B4138" t="str">
            <v>1908-3E90002R1</v>
          </cell>
          <cell r="C4138" t="str">
            <v>M23</v>
          </cell>
        </row>
        <row r="4139">
          <cell r="B4139" t="str">
            <v>1908-3E90002RN</v>
          </cell>
          <cell r="C4139" t="str">
            <v>M23</v>
          </cell>
        </row>
        <row r="4140">
          <cell r="B4140" t="str">
            <v>1908-3E90007E1</v>
          </cell>
          <cell r="C4140" t="str">
            <v>M23</v>
          </cell>
        </row>
        <row r="4141">
          <cell r="B4141" t="str">
            <v>1908-3E90007E3</v>
          </cell>
          <cell r="C4141" t="str">
            <v>M23</v>
          </cell>
        </row>
        <row r="4142">
          <cell r="B4142" t="str">
            <v>1908-3E90007E4</v>
          </cell>
          <cell r="C4142" t="str">
            <v>M23</v>
          </cell>
        </row>
        <row r="4143">
          <cell r="B4143" t="str">
            <v>1908-3E90007EN</v>
          </cell>
          <cell r="C4143" t="str">
            <v>M23</v>
          </cell>
        </row>
        <row r="4144">
          <cell r="B4144" t="str">
            <v>1908-3E90007R1</v>
          </cell>
          <cell r="C4144" t="str">
            <v>M23</v>
          </cell>
        </row>
        <row r="4145">
          <cell r="B4145" t="str">
            <v>1908-3E90007RN</v>
          </cell>
          <cell r="C4145" t="str">
            <v>M23</v>
          </cell>
        </row>
        <row r="4146">
          <cell r="B4146" t="str">
            <v>1908-3E90008A1</v>
          </cell>
          <cell r="C4146" t="str">
            <v>M23</v>
          </cell>
        </row>
        <row r="4147">
          <cell r="B4147" t="str">
            <v>1908-3E90008A2</v>
          </cell>
          <cell r="C4147" t="str">
            <v>M23</v>
          </cell>
        </row>
        <row r="4148">
          <cell r="B4148" t="str">
            <v>1908-3E90008AN</v>
          </cell>
          <cell r="C4148" t="str">
            <v>M23</v>
          </cell>
        </row>
        <row r="4149">
          <cell r="B4149" t="str">
            <v>1908-3E90008E1</v>
          </cell>
          <cell r="C4149" t="str">
            <v>M23</v>
          </cell>
        </row>
        <row r="4150">
          <cell r="B4150" t="str">
            <v>1908-3E90008E2</v>
          </cell>
          <cell r="C4150" t="str">
            <v>M23</v>
          </cell>
        </row>
        <row r="4151">
          <cell r="B4151" t="str">
            <v>1908-3E90008E3</v>
          </cell>
          <cell r="C4151" t="str">
            <v>M23</v>
          </cell>
        </row>
        <row r="4152">
          <cell r="B4152" t="str">
            <v>1908-3E90008E4</v>
          </cell>
          <cell r="C4152" t="str">
            <v>M23</v>
          </cell>
        </row>
        <row r="4153">
          <cell r="B4153" t="str">
            <v>1908-3E90008E5</v>
          </cell>
          <cell r="C4153" t="str">
            <v>M23</v>
          </cell>
        </row>
        <row r="4154">
          <cell r="B4154" t="str">
            <v>1908-3E90008EN</v>
          </cell>
          <cell r="C4154" t="str">
            <v>M23</v>
          </cell>
        </row>
        <row r="4155">
          <cell r="B4155" t="str">
            <v>1908-3E90008R1</v>
          </cell>
          <cell r="C4155" t="str">
            <v>M23</v>
          </cell>
        </row>
        <row r="4156">
          <cell r="B4156" t="str">
            <v>1908-3E90008RN</v>
          </cell>
          <cell r="C4156" t="str">
            <v>M23</v>
          </cell>
        </row>
        <row r="4157">
          <cell r="B4157" t="str">
            <v>1999-1031081EN/MX</v>
          </cell>
          <cell r="C4157" t="str">
            <v>M23</v>
          </cell>
        </row>
        <row r="4158">
          <cell r="B4158" t="str">
            <v>1999-1061478EN/MX</v>
          </cell>
          <cell r="C4158" t="str">
            <v>M23</v>
          </cell>
        </row>
        <row r="4159">
          <cell r="B4159" t="str">
            <v>1999-1061523EN/MX</v>
          </cell>
          <cell r="C4159" t="str">
            <v>M23</v>
          </cell>
        </row>
        <row r="4160">
          <cell r="B4160" t="str">
            <v>1999-1061552EN/MX</v>
          </cell>
          <cell r="C4160" t="str">
            <v>M23</v>
          </cell>
        </row>
        <row r="4161">
          <cell r="B4161" t="str">
            <v>1999-1062601EN</v>
          </cell>
          <cell r="C4161" t="str">
            <v>M23</v>
          </cell>
        </row>
        <row r="4162">
          <cell r="B4162" t="str">
            <v>20710-52100</v>
          </cell>
          <cell r="C4162" t="str">
            <v>M23</v>
          </cell>
        </row>
        <row r="4163">
          <cell r="B4163" t="str">
            <v>20710-53900</v>
          </cell>
          <cell r="C4163" t="str">
            <v>M23</v>
          </cell>
        </row>
        <row r="4164">
          <cell r="B4164" t="str">
            <v>20711-52100</v>
          </cell>
          <cell r="C4164" t="str">
            <v>M23</v>
          </cell>
        </row>
        <row r="4165">
          <cell r="B4165" t="str">
            <v>65000-30800EP</v>
          </cell>
          <cell r="C4165" t="str">
            <v>M23</v>
          </cell>
        </row>
        <row r="4166">
          <cell r="B4166" t="str">
            <v>68401-32200EN</v>
          </cell>
          <cell r="C4166" t="str">
            <v>M23</v>
          </cell>
        </row>
        <row r="4167">
          <cell r="B4167" t="str">
            <v>CPLBPA004/1</v>
          </cell>
          <cell r="C4167" t="str">
            <v>M23</v>
          </cell>
        </row>
        <row r="4168">
          <cell r="B4168" t="str">
            <v>CPLBPA006/1</v>
          </cell>
          <cell r="C4168" t="str">
            <v>M23</v>
          </cell>
        </row>
        <row r="4169">
          <cell r="B4169" t="str">
            <v>CPPKPB003/1</v>
          </cell>
          <cell r="C4169" t="str">
            <v>M23</v>
          </cell>
        </row>
        <row r="4170">
          <cell r="B4170" t="str">
            <v>CPPKPB005/1</v>
          </cell>
          <cell r="C4170" t="str">
            <v>M23</v>
          </cell>
        </row>
        <row r="4171">
          <cell r="B4171" t="str">
            <v>CPPKPG001</v>
          </cell>
          <cell r="C4171" t="str">
            <v>M23</v>
          </cell>
        </row>
        <row r="4172">
          <cell r="B4172" t="str">
            <v>CPPKPW013/1</v>
          </cell>
          <cell r="C4172" t="str">
            <v>M23</v>
          </cell>
        </row>
        <row r="4173">
          <cell r="B4173" t="str">
            <v>CPPKPW1200X800</v>
          </cell>
          <cell r="C4173" t="str">
            <v>M23</v>
          </cell>
        </row>
        <row r="4174">
          <cell r="B4174" t="str">
            <v>CPPKRB001</v>
          </cell>
          <cell r="C4174" t="str">
            <v>M23</v>
          </cell>
        </row>
        <row r="4175">
          <cell r="B4175" t="str">
            <v>CPSLBR401X700EN</v>
          </cell>
          <cell r="C4175" t="str">
            <v>M23</v>
          </cell>
        </row>
        <row r="4176">
          <cell r="B4176" t="str">
            <v>CPSPBR396X580EN</v>
          </cell>
          <cell r="C4176" t="str">
            <v>M23</v>
          </cell>
        </row>
        <row r="4177">
          <cell r="B4177" t="str">
            <v>RMEPGL001-1</v>
          </cell>
          <cell r="C4177" t="str">
            <v>M23</v>
          </cell>
        </row>
        <row r="4178">
          <cell r="B4178" t="str">
            <v>RMEPGL001-2</v>
          </cell>
          <cell r="C4178" t="str">
            <v>M23</v>
          </cell>
        </row>
        <row r="4179">
          <cell r="B4179" t="str">
            <v>RMEPGL2216</v>
          </cell>
          <cell r="C4179" t="str">
            <v>M23</v>
          </cell>
        </row>
        <row r="4180">
          <cell r="B4180" t="str">
            <v>RMEPPD219</v>
          </cell>
          <cell r="C4180" t="str">
            <v>M23</v>
          </cell>
        </row>
        <row r="4181">
          <cell r="B4181" t="str">
            <v>RMPPSB001X110</v>
          </cell>
          <cell r="C4181" t="str">
            <v>M23</v>
          </cell>
        </row>
        <row r="4182">
          <cell r="B4182" t="str">
            <v>RMSFRL001X460</v>
          </cell>
          <cell r="C4182" t="str">
            <v>M23</v>
          </cell>
        </row>
        <row r="4183">
          <cell r="B4183" t="str">
            <v>RMTPPP002X635</v>
          </cell>
          <cell r="C4183" t="str">
            <v>M23</v>
          </cell>
        </row>
        <row r="4184">
          <cell r="B4184" t="str">
            <v>SURCHARGE </v>
          </cell>
          <cell r="C4184" t="str">
            <v>M23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nolia Valle" refreshedDate="46139.536296180559" createdVersion="8" refreshedVersion="8" minRefreshableVersion="3" recordCount="134" xr:uid="{D4014EF8-4B3A-40BB-A327-CCB6EFCCA072}">
  <cacheSource type="worksheet">
    <worksheetSource ref="A1:BG135" sheet="Sheet1"/>
  </cacheSource>
  <cacheFields count="59">
    <cacheField name="Referencia" numFmtId="0">
      <sharedItems count="9">
        <s v="RM-J-1325LI26- M19"/>
        <s v=" RM-J-1316I26- M19"/>
        <s v="M-J-1331LI26- M46.PFA"/>
        <s v="RM-J-1339LI26- M19"/>
        <s v="RM-J-1342LI26- M19.1 "/>
        <s v="AF-J-0908LI26-M00.1"/>
        <s v="RM-J-1343LI26- M19"/>
        <s v="RM-J-1357LI26-M19    "/>
        <s v="RM-J-1359LI26-M23.CS1037"/>
      </sharedItems>
    </cacheField>
    <cacheField name="Caja" numFmtId="49">
      <sharedItems count="9">
        <s v="5324104"/>
        <s v="P8520"/>
        <s v="14-BK-9L"/>
        <s v="CB-032"/>
        <s v="CB-045"/>
        <s v="P8605"/>
        <s v="27-BK-1X"/>
        <s v="CB-022"/>
        <s v="CB-011"/>
      </sharedItems>
    </cacheField>
    <cacheField name="% uso" numFmtId="49">
      <sharedItems/>
    </cacheField>
    <cacheField name="Transporte" numFmtId="49">
      <sharedItems/>
    </cacheField>
    <cacheField name="Linea Caja" numFmtId="49">
      <sharedItems/>
    </cacheField>
    <cacheField name="Transfer" numFmtId="49">
      <sharedItems/>
    </cacheField>
    <cacheField name="Fecha Ent. Doc" numFmtId="49">
      <sharedItems containsNonDate="0" containsString="0" containsBlank="1"/>
    </cacheField>
    <cacheField name="Hora Ent. Doc" numFmtId="49">
      <sharedItems containsNonDate="0" containsString="0" containsBlank="1"/>
    </cacheField>
    <cacheField name="Fecha Not. Transfer" numFmtId="49">
      <sharedItems containsNonDate="0" containsString="0" containsBlank="1"/>
    </cacheField>
    <cacheField name="Hora Not. Transfer" numFmtId="49">
      <sharedItems containsNonDate="0" containsString="0" containsBlank="1"/>
    </cacheField>
    <cacheField name="Fecha Arr. Transfer" numFmtId="49">
      <sharedItems containsNonDate="0" containsString="0" containsBlank="1"/>
    </cacheField>
    <cacheField name="Hora Arr. Transfer" numFmtId="49">
      <sharedItems containsNonDate="0" containsString="0" containsBlank="1"/>
    </cacheField>
    <cacheField name="Fecha Salida Transfer" numFmtId="49">
      <sharedItems containsNonDate="0" containsString="0" containsBlank="1"/>
    </cacheField>
    <cacheField name="Hora Salida Transfer" numFmtId="49">
      <sharedItems containsNonDate="0" containsString="0" containsBlank="1"/>
    </cacheField>
    <cacheField name="Fecha Cruce" numFmtId="49">
      <sharedItems/>
    </cacheField>
    <cacheField name="Hora Cruce" numFmtId="49">
      <sharedItems/>
    </cacheField>
    <cacheField name="Rec. Aduanero" numFmtId="49">
      <sharedItems containsNonDate="0" containsString="0" containsBlank="1"/>
    </cacheField>
    <cacheField name="Hora Rojo" numFmtId="49">
      <sharedItems containsNonDate="0" containsString="0" containsBlank="1"/>
    </cacheField>
    <cacheField name="Hora Lib.Rojo" numFmtId="49">
      <sharedItems containsNonDate="0" containsString="0" containsBlank="1"/>
    </cacheField>
    <cacheField name="TSR" numFmtId="49">
      <sharedItems/>
    </cacheField>
    <cacheField name="Nombre Cliente" numFmtId="49">
      <sharedItems/>
    </cacheField>
    <cacheField name="Codigo Cliente" numFmtId="49">
      <sharedItems/>
    </cacheField>
    <cacheField name="No. Planta" numFmtId="49">
      <sharedItems/>
    </cacheField>
    <cacheField name="Nombre planta" numFmtId="49">
      <sharedItems/>
    </cacheField>
    <cacheField name="Trafico" numFmtId="49">
      <sharedItems/>
    </cacheField>
    <cacheField name="Pedimento" numFmtId="49">
      <sharedItems/>
    </cacheField>
    <cacheField name="Remesa" numFmtId="49">
      <sharedItems/>
    </cacheField>
    <cacheField name="Clave" numFmtId="49">
      <sharedItems/>
    </cacheField>
    <cacheField name="Aduana" numFmtId="49">
      <sharedItems/>
    </cacheField>
    <cacheField name="Patente" numFmtId="49">
      <sharedItems/>
    </cacheField>
    <cacheField name="Carga Previa" numFmtId="49">
      <sharedItems containsNonDate="0" containsString="0" containsBlank="1"/>
    </cacheField>
    <cacheField name="Fecha Car. Previa" numFmtId="49">
      <sharedItems containsNonDate="0" containsString="0" containsBlank="1"/>
    </cacheField>
    <cacheField name="Hora Car. Previa" numFmtId="49">
      <sharedItems containsNonDate="0" containsString="0" containsBlank="1"/>
    </cacheField>
    <cacheField name="Bultos" numFmtId="49">
      <sharedItems count="9">
        <s v="1"/>
        <s v="2"/>
        <s v="5"/>
        <s v="3"/>
        <s v="17"/>
        <s v="16"/>
        <s v="41"/>
        <s v="12"/>
        <s v="6"/>
      </sharedItems>
    </cacheField>
    <cacheField name="Candados" numFmtId="49">
      <sharedItems/>
    </cacheField>
    <cacheField name="Ref. Dicex" numFmtId="49">
      <sharedItems/>
    </cacheField>
    <cacheField name="Fecha Recibo" numFmtId="49">
      <sharedItems/>
    </cacheField>
    <cacheField name="Factura" numFmtId="49">
      <sharedItems/>
    </cacheField>
    <cacheField name="Fecha Factura" numFmtId="49">
      <sharedItems/>
    </cacheField>
    <cacheField name="Importe" numFmtId="49">
      <sharedItems/>
    </cacheField>
    <cacheField name="Orden de Compra" numFmtId="49">
      <sharedItems containsNonDate="0" containsString="0" containsBlank="1"/>
    </cacheField>
    <cacheField name="COVE" numFmtId="49">
      <sharedItems containsBlank="1"/>
    </cacheField>
    <cacheField name="Proveedor" numFmtId="49">
      <sharedItems/>
    </cacheField>
    <cacheField name="Domicilio" numFmtId="49">
      <sharedItems/>
    </cacheField>
    <cacheField name="Guia Pack." numFmtId="49">
      <sharedItems containsBlank="1"/>
    </cacheField>
    <cacheField name="Codigo Suc." numFmtId="49">
      <sharedItems containsNonDate="0" containsString="0" containsBlank="1"/>
    </cacheField>
    <cacheField name="Peso Bruto (Kgs)" numFmtId="49">
      <sharedItems count="35">
        <s v="79.74"/>
        <s v="43.091"/>
        <s v="9.979"/>
        <s v="90.718"/>
        <s v="181.437"/>
        <s v="14.19"/>
        <s v="1.361"/>
        <s v="299.371"/>
        <s v="749.7"/>
        <s v="139.706"/>
        <s v="51.256"/>
        <s v="17"/>
        <s v="106.32"/>
        <s v="100"/>
        <s v="95.28"/>
        <s v="2000"/>
        <s v="3000"/>
        <s v="498.952"/>
        <s v="21.42"/>
        <s v="136.078"/>
        <s v="705.6"/>
        <s v="30.844"/>
        <s v="3.629"/>
        <s v="1"/>
        <s v="53.524"/>
        <s v="20"/>
        <s v="68.039"/>
        <s v="300"/>
        <s v="31.751"/>
        <s v="24.948"/>
        <s v="4.082"/>
        <s v="240.395"/>
        <s v="68"/>
        <s v="1000"/>
        <s v="1863.6"/>
      </sharedItems>
    </cacheField>
    <cacheField name="Peso Bruto (Lbs)" numFmtId="49">
      <sharedItems/>
    </cacheField>
    <cacheField name="Orden" numFmtId="49">
      <sharedItems/>
    </cacheField>
    <cacheField name="No. Parte Prov." numFmtId="49">
      <sharedItems count="58">
        <s v="0081-1000095"/>
        <s v="1616-5TP1037"/>
        <s v="1428-10C0001"/>
        <s v="1438-EQH0055"/>
        <s v="TAPA PLASTICA"/>
        <s v="CHAROLA PLASTICA"/>
        <s v="BASE PLASTICA"/>
        <s v="1204-5YY0012"/>
        <s v="32560"/>
        <s v="1438-EQM0074"/>
        <s v="CAJAS PLASTICAS"/>
        <s v="1999-EQH0003"/>
        <s v="1438-EQH0053"/>
        <s v="1438-EQH0044"/>
        <s v="0081-1000096"/>
        <s v="0081-1010033"/>
        <s v="0081-1000098"/>
        <s v="RMOLOM350"/>
        <s v="0070-M010001"/>
        <s v="0070-1100005-W"/>
        <s v="0061-V150018-N"/>
        <s v="0061-V150018-R"/>
        <s v="0061-V150018-W"/>
        <s v="1474-5YY0005"/>
        <s v="1438-EQH0040"/>
        <s v="MBDLT25SF"/>
        <s v="D02GG40V35"/>
        <s v="57CM23-BZ"/>
        <s v="AE1/AP-4F"/>
        <s v="90025K408"/>
        <s v="VILROS RASPBERRY PI 4 8GB BASIC STARTER KIT WITH FAN COOLED HEAVY DUTY ALUMINUM ALLOY CASE (BLACK CA"/>
        <s v="HPMN 24V 10A 240W POWER SUPPLY AC/DC ADAPTER UNIVERSAL REGULATED SWITCHING AC 110-220V TO DC 24 VOLT"/>
        <s v="VILROS RASPBERRY PI 4 COMPLETE STARTER KIT- INCLUDES RASPBERRY PI 4 BOARD, FAN COOLED CASE, 64GB PRE"/>
        <s v="UXCELL 2MM DIA TEMPERATURE SENSOR PROBE TESTER K-TYPE THERMOCOUPLE WIRE CABLE 32M L"/>
        <s v="ARDUCAM MULTI CAMERA ADAPTER MODULE V2.2 FOR RASPBERRY PI 5, 4B, COMPATIBLE WITH RASPERRY PI CAMERA"/>
        <s v="ARDUCAM FOR RASPBERRY PI HQ CAMERA MODULE,12.3MP IMX477 RASPBERRY PI CAMERA FOR RASPBERRY PI5/4B/3B+"/>
        <s v="ARDUCAM 2.8-12MM VARIFOCAL C-MOUNT LENS FOR RASPBERRY PI HQ CAMERA, WITH C-CS ADAPTER, INDUSTRIAL TE"/>
        <s v="ARDUCAM IMX477 PI HQ CAMERA FOR RASPBERRY PI 5, COMES WITH A 1/2.3 6MM FOCAL LENGTH CS LENS, WIDELY"/>
        <s v="3PCS 15 PIN 30CM 50CM 100CM FFC RIBBON FLEXIBLE FLAT CABLE FOR CAMERA PI CAMERA CABLE LONG EXTENSION"/>
        <s v="SEEED STUDIO CORAL USB ACCELERATOR ACCELERATOR COPROCESSOR FOR RASPBERRY PI AND OTHER EMBEDDED SINGL"/>
        <s v="ZOWIETEK 5-50MM 12MP C-MOUNT LOW DISTORTION ZOOM LENS, WITH C-CS ADAPTER, FOR ZOWIECAM POV CS/C MOUN"/>
        <s v="ARDUCAM M12 LENS SET FOR USB CAMERA(1/2.7 1/2.8 1/2.9), TELEPHOTO, MACRO, WIDE ANGLE, FISHEYE LENS K"/>
        <s v="FFR-FLAT6.6"/>
        <s v="ARDU6-25"/>
        <s v="MOKOSE 5-12MM CCTV CAMERA LENS 6MP PIXELS 1/1.8 ZOOM C-MOUNT INDUSTRIAL CAMERA MANUAL LENS LOW DISTO"/>
        <s v="ARDU-CS.6-25"/>
        <s v="GEEEKPI 7-INCH SCREEN FOR RASPBERRY PI, 1024X600 IPS LCD DISPLAY, HDMI PORTABLE MONITOR FOR PI 5/4B/"/>
        <s v="139313"/>
        <s v="RMEPGL001-1"/>
        <s v="1410-EQH0109"/>
        <s v="0081-1000097"/>
        <s v="1401-EQH0002"/>
        <s v="40433"/>
        <s v="1621-MYY0007"/>
        <s v="91165032"/>
        <s v="91165023"/>
        <s v="0070-1200005"/>
        <s v="1908-1E90003RN"/>
      </sharedItems>
    </cacheField>
    <cacheField name="No. Pte. Impo" numFmtId="49">
      <sharedItems containsBlank="1"/>
    </cacheField>
    <cacheField name="Fraccion" numFmtId="49">
      <sharedItems/>
    </cacheField>
    <cacheField name="Descripcion Parte Prov." numFmtId="49">
      <sharedItems/>
    </cacheField>
    <cacheField name="Cantidad" numFmtId="49">
      <sharedItems count="39">
        <s v="3"/>
        <s v="20000"/>
        <s v="8100"/>
        <s v="5"/>
        <s v="240"/>
        <s v="39600"/>
        <s v="2"/>
        <s v="4320"/>
        <s v="17"/>
        <s v="340"/>
        <s v="8640"/>
        <s v="2700"/>
        <s v="4"/>
        <s v="1"/>
        <s v="100"/>
        <s v="6"/>
        <s v="2000"/>
        <s v="3000"/>
        <s v="40000"/>
        <s v="30000"/>
        <s v="16"/>
        <s v="320"/>
        <s v="10"/>
        <s v="40"/>
        <s v="7"/>
        <s v="8"/>
        <s v="9"/>
        <s v="9000"/>
        <s v="150"/>
        <s v="15000"/>
        <s v="14000"/>
        <s v="325"/>
        <s v="202"/>
        <s v="48"/>
        <s v="12"/>
        <s v="241"/>
        <s v="1000"/>
        <s v="720"/>
        <s v="120"/>
      </sharedItems>
    </cacheField>
    <cacheField name="Monto Partida" numFmtId="49">
      <sharedItems/>
    </cacheField>
    <cacheField name="Rout" numFmtId="49">
      <sharedItems containsNonDate="0" containsString="0" containsBlank="1"/>
    </cacheField>
    <cacheField name="Doc Scan" numFmtId="49">
      <sharedItems containsNonDate="0" containsString="0" containsBlank="1"/>
    </cacheField>
    <cacheField name="Caja Scan" numFmtId="49">
      <sharedItems containsNonDate="0" containsString="0" containsBlank="1"/>
    </cacheField>
    <cacheField name="Ejecutiv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5"/>
    <s v="IN"/>
    <s v="NUEVO LAREDO, TAMAULIPAS."/>
    <s v="3483"/>
    <m/>
    <m/>
    <m/>
    <x v="0"/>
    <s v="BDE230489286,"/>
    <s v="TDS26-00225"/>
    <s v="09/04/2026"/>
    <s v="057895"/>
    <s v="26/03/2026"/>
    <s v="$1,854.39"/>
    <m/>
    <s v="COVE2681KLME6"/>
    <s v="NAGASE CHEMTEX AMERICA LLC"/>
    <s v="100 INNOVATION COURT, DELAWARE OH, USA 43015"/>
    <s v="109190900700"/>
    <m/>
    <x v="0"/>
    <s v="175.797"/>
    <s v="1"/>
    <x v="0"/>
    <m/>
    <s v="3506919999"/>
    <s v="ADHESIVO A BASE DE RESINAS EPOXICAS"/>
    <x v="0"/>
    <s v="1854.39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2"/>
    <s v="IN"/>
    <s v="NUEVO LAREDO, TAMAULIPAS."/>
    <s v="3483"/>
    <m/>
    <m/>
    <m/>
    <x v="0"/>
    <s v="BDE230489286,"/>
    <s v="TDS26-00217"/>
    <s v="09/04/2026"/>
    <s v="057943"/>
    <s v="30/03/2026"/>
    <s v="$1,854.39"/>
    <m/>
    <s v="COVE2681KIYR1"/>
    <s v="NAGASE CHEMTEX AMERICA LLC"/>
    <s v="100 INNOVATION COURT, DELAWARE OH, USA 43015"/>
    <s v="109313150100"/>
    <m/>
    <x v="0"/>
    <s v="175.797"/>
    <s v="1"/>
    <x v="0"/>
    <m/>
    <s v="3506919999"/>
    <s v="ADHESIVO A BASE DE RESINAS EPOXICAS"/>
    <x v="0"/>
    <s v="1854.39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8"/>
    <s v="IN"/>
    <s v="NUEVO LAREDO, TAMAULIPAS."/>
    <s v="3483"/>
    <m/>
    <m/>
    <m/>
    <x v="0"/>
    <s v="BDE230489286,"/>
    <s v="TDS26-00221"/>
    <s v="09/04/2026"/>
    <s v="700070560"/>
    <s v="17/03/2026"/>
    <s v="$6,140.00"/>
    <m/>
    <s v="COVE2681KOCW5"/>
    <s v="RUTRONIK ELECTRONICS WORLDWIDE"/>
    <s v="2745 3111 N. UNIVERSITY DRIVE, PLANO TX, USA 33065"/>
    <s v="95966923"/>
    <m/>
    <x v="1"/>
    <s v="95"/>
    <s v="1"/>
    <x v="1"/>
    <m/>
    <s v="8532240400"/>
    <s v="CAPACITOR DE CERAMICACAPACITOR DE CERAMICA"/>
    <x v="1"/>
    <s v="6140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9"/>
    <s v="IN"/>
    <s v="NUEVO LAREDO, TAMAULIPAS."/>
    <s v="3483"/>
    <m/>
    <m/>
    <m/>
    <x v="1"/>
    <s v="BDE230489286,"/>
    <s v="TDS26-00230"/>
    <s v="10/04/2026"/>
    <s v="7034263922"/>
    <s v="01/04/2026"/>
    <s v="$140.20"/>
    <m/>
    <s v="COVE2681KQ0C2"/>
    <s v="APPLIED INDUSTRIAL TECHNOLOGIES"/>
    <s v="S/N 2730 KEENEN AVE, DAYTON OHIO, USA 45414"/>
    <s v="870170200600"/>
    <m/>
    <x v="2"/>
    <s v="22"/>
    <s v="1"/>
    <x v="2"/>
    <m/>
    <s v="3926901400"/>
    <s v="CINCHO DE PLASTICO"/>
    <x v="1"/>
    <s v="140.2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3"/>
    <s v="IN"/>
    <s v="NUEVO LAREDO, TAMAULIPAS."/>
    <s v="3483"/>
    <m/>
    <m/>
    <m/>
    <x v="0"/>
    <s v="BDE230489286,"/>
    <s v="TDS26-00220"/>
    <s v="09/04/2026"/>
    <s v="CD99125556"/>
    <s v="01/04/2026"/>
    <s v="$17,982.00"/>
    <m/>
    <s v="COVE2681KK2N8"/>
    <s v="COMPAL USA"/>
    <s v="1 TECHNOLOGY WAY, LOGANSPORT IN, USA 46947"/>
    <s v="108870290705"/>
    <m/>
    <x v="3"/>
    <s v="200"/>
    <s v="1"/>
    <x v="3"/>
    <m/>
    <s v="8534000499"/>
    <s v="CIRCUITO IMPRESO"/>
    <x v="2"/>
    <s v="17982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1"/>
    <x v="4"/>
    <s v="TAPA PLASTICA"/>
    <s v="3923500100"/>
    <s v="TAPA PLASTICA"/>
    <x v="3"/>
    <s v="25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2"/>
    <x v="5"/>
    <m/>
    <s v="3923100301"/>
    <s v="CHAROLA PLASTICA"/>
    <x v="4"/>
    <s v="1200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4"/>
    <s v="IN"/>
    <s v="NUEVO LAREDO, TAMAULIPAS."/>
    <s v="3483"/>
    <m/>
    <m/>
    <m/>
    <x v="2"/>
    <s v="BDE230489286,"/>
    <s v="TDS26-00222"/>
    <s v="09/04/2026"/>
    <s v="JEMEX492026"/>
    <s v="09/04/2026"/>
    <s v="$1,250.00"/>
    <m/>
    <s v="COVE2681KL311"/>
    <s v="DETROIT THERMAL SYSTEMS"/>
    <s v="6505 COGSWELL ST., ROMULUS MI, USA 48174"/>
    <s v="321-3348"/>
    <m/>
    <x v="4"/>
    <s v="400"/>
    <s v="3"/>
    <x v="6"/>
    <s v="TAPA PLASTICA"/>
    <s v="3923909900"/>
    <s v="BASE PLASTICA"/>
    <x v="3"/>
    <s v="25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6"/>
    <s v="IN"/>
    <s v="NUEVO LAREDO, TAMAULIPAS."/>
    <s v="3483"/>
    <m/>
    <m/>
    <m/>
    <x v="1"/>
    <s v="BDE230489286,"/>
    <s v="TDS26-00202"/>
    <s v="26/03/2026"/>
    <s v="L00002404836"/>
    <s v="14/03/2026"/>
    <s v="$2,233.44"/>
    <m/>
    <s v="COVE2681KM6J8"/>
    <s v="SMALLEY STEEL RING COMPANY"/>
    <s v="555 OAKWOOD ROAD, LAKE ZURICH IL, USA 60047"/>
    <s v="399612952495,495809,495808"/>
    <m/>
    <x v="5"/>
    <s v="31.284"/>
    <s v="1"/>
    <x v="7"/>
    <m/>
    <s v="7318210200"/>
    <s v="ARANDELA DE MUELLE"/>
    <x v="5"/>
    <s v="2233.44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96"/>
    <s v="6089046"/>
    <s v="7"/>
    <s v="IN"/>
    <s v="NUEVO LAREDO, TAMAULIPAS."/>
    <s v="3483"/>
    <m/>
    <m/>
    <m/>
    <x v="1"/>
    <s v="BDE230489286,"/>
    <s v="TDS26-00192"/>
    <s v="26/03/2026"/>
    <s v="L00002406237"/>
    <s v="20/03/2026"/>
    <s v="$2,233.44"/>
    <m/>
    <s v="COVE2681KN9G7"/>
    <s v="SMALLEY STEEL RING COMPANY"/>
    <s v="555 OAKWOOD ROAD, LAKE ZURICH IL, USA 60047"/>
    <s v="399800819705 ,496555,496554"/>
    <m/>
    <x v="5"/>
    <s v="31.284"/>
    <s v="1"/>
    <x v="7"/>
    <m/>
    <s v="7318210200"/>
    <s v="ARANDELA DE MUELLE"/>
    <x v="5"/>
    <s v="2233.44"/>
    <m/>
    <m/>
    <m/>
    <s v="JUAN NOLASCO"/>
  </r>
  <r>
    <x v="0"/>
    <x v="0"/>
    <s v="0"/>
    <s v="TRANSFER REAL CARRIERS"/>
    <s v="3LCB"/>
    <s v="TRANSFER REAL CARRIERS"/>
    <m/>
    <m/>
    <m/>
    <m/>
    <m/>
    <m/>
    <m/>
    <m/>
    <s v="09/04/2026"/>
    <s v="00:00:00"/>
    <m/>
    <m/>
    <m/>
    <s v="STDS9-01163"/>
    <s v="JOHNSON ELECTRIC GROUP MEXICO S DE RL DE CV"/>
    <s v="01"/>
    <s v="01"/>
    <s v="JOHNSON ELECTRIC GROUP MEXICO S DE RL DE CV"/>
    <s v="JEGIN-42359"/>
    <s v="6089047"/>
    <s v="1"/>
    <s v="IN"/>
    <s v="NUEVO LAREDO, TAMAULIPAS."/>
    <s v="3483"/>
    <m/>
    <m/>
    <m/>
    <x v="0"/>
    <s v="BDE230489286,"/>
    <s v="TDS26-00164"/>
    <s v="12/03/2026"/>
    <s v="00018245"/>
    <s v="03/03/2026"/>
    <s v="$11.50"/>
    <m/>
    <s v="COVE2681KQZS8"/>
    <s v="MAGNEFORCE INC."/>
    <s v="155 SHAFFER DR. N.E., WARREN OH, USA 44484"/>
    <s v="1Z5455240396960013 ,494906 -"/>
    <m/>
    <x v="6"/>
    <s v="3"/>
    <s v="1"/>
    <x v="8"/>
    <m/>
    <s v="9032900299"/>
    <s v="PARTE PARA MODULO DE CONTROL"/>
    <x v="6"/>
    <s v="11.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1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2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3"/>
    <s v="BDE230489281,"/>
    <s v="TDS26-00215"/>
    <s v="06/04/2026"/>
    <s v="CD99125496"/>
    <s v="26/03/2026"/>
    <s v="$27,552.96"/>
    <m/>
    <m/>
    <s v="COMPAL USA"/>
    <s v="1 TECHNOLOGY WAY, LOGANSPORT IN, USA 46947"/>
    <m/>
    <m/>
    <x v="7"/>
    <s v="660"/>
    <s v="3"/>
    <x v="9"/>
    <m/>
    <s v="8534000499"/>
    <s v="CIRCUITO IMPRESO"/>
    <x v="7"/>
    <s v="9184.32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1"/>
    <x v="4"/>
    <s v="TAPA PLASTICA"/>
    <s v="3923500100"/>
    <s v="TAPA PLASTICA"/>
    <x v="8"/>
    <s v="8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2"/>
    <x v="10"/>
    <m/>
    <s v="3923909900"/>
    <s v="CAJAS PLASTICA"/>
    <x v="9"/>
    <s v="1700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4"/>
    <s v="BDE230489281,"/>
    <s v="TDS26-00214"/>
    <s v="06/04/2026"/>
    <s v="MXO-26900"/>
    <s v="06/04/2026"/>
    <s v="$1,870.00"/>
    <m/>
    <m/>
    <s v="SAIA BURGESS AUTOMOTIVE ACTUATORS LLC"/>
    <s v="755 BILL JONES INDUSTRIAL DR, SPRINGFIELD TN, USA 37172"/>
    <s v="M5017091"/>
    <m/>
    <x v="8"/>
    <s v="1652.806"/>
    <s v="3"/>
    <x v="6"/>
    <s v="TAPA PLASTICA"/>
    <s v="3923909900"/>
    <s v="BASE PLASTICA"/>
    <x v="8"/>
    <s v="85"/>
    <m/>
    <m/>
    <m/>
    <s v="JUAN NOLASCO"/>
  </r>
  <r>
    <x v="1"/>
    <x v="1"/>
    <s v="0"/>
    <s v="PAN AMERICAN EXPRESS INC."/>
    <s v="PANAMERICA"/>
    <s v="PAN AMERICAN EXPRESS INC."/>
    <m/>
    <m/>
    <m/>
    <m/>
    <m/>
    <m/>
    <m/>
    <m/>
    <s v="06/04/2026"/>
    <s v="00:00:00"/>
    <m/>
    <m/>
    <m/>
    <s v="STDS9-01162"/>
    <s v="JOHNSON ELECTRIC GROUP MEXICO S DE RL DE CV"/>
    <s v="01"/>
    <s v="01"/>
    <s v="JOHNSON ELECTRIC GROUP MEXICO S DE RL DE CV"/>
    <s v="JEGIN-42396"/>
    <s v="6089046"/>
    <s v="1"/>
    <s v="IN"/>
    <s v="NUEVO LAREDO, TAMAULIPAS."/>
    <s v="3483"/>
    <m/>
    <m/>
    <m/>
    <x v="0"/>
    <s v="BDE230489281,"/>
    <s v="TDS26-00213"/>
    <s v="06/04/2026"/>
    <s v="NY630480"/>
    <s v="01/04/2026"/>
    <s v="$8,121.60"/>
    <m/>
    <m/>
    <s v="MABUCHI MOTOR AMERICA CORP"/>
    <s v="3001 WEST BIG BEAVER ROAD, TROY MI, USA 48084"/>
    <s v="NY630480"/>
    <m/>
    <x v="9"/>
    <s v="308"/>
    <s v="1"/>
    <x v="11"/>
    <m/>
    <s v="8501101004"/>
    <s v="MOTOR DE CORRIENTE DIRECTA"/>
    <x v="10"/>
    <s v="8121.6"/>
    <m/>
    <m/>
    <m/>
    <s v="JUAN NOLASCO"/>
  </r>
  <r>
    <x v="2"/>
    <x v="2"/>
    <s v="0"/>
    <s v="JOGS TRANSPORTES"/>
    <s v="GSJO"/>
    <s v="JOGS TRANSPORTES"/>
    <m/>
    <m/>
    <m/>
    <m/>
    <m/>
    <m/>
    <m/>
    <m/>
    <s v="16/04/2026"/>
    <s v="00:00:00"/>
    <m/>
    <m/>
    <m/>
    <s v="STDS9-01164"/>
    <s v="JOHNSON ELECTRIC GROUP MEXICO S DE RL DE CV"/>
    <s v="01"/>
    <s v="01"/>
    <s v="JOHNSON ELECTRIC GROUP MEXICO S DE RL DE CV"/>
    <s v="JEGIN-42532"/>
    <s v="6089049"/>
    <s v="1"/>
    <s v="IN"/>
    <s v="NUEVO LAREDO, TAMAULIPAS."/>
    <s v="3483"/>
    <m/>
    <m/>
    <m/>
    <x v="0"/>
    <s v="BDE230489282,"/>
    <s v="TDS26-00245"/>
    <s v="16/04/2026"/>
    <s v="CD99125718"/>
    <s v="14/04/2026"/>
    <s v="$12,371.40"/>
    <m/>
    <m/>
    <s v="COMPAL USA"/>
    <s v="1 TECHNOLOGY WAY, LOGANSPORT IN, USA 46947"/>
    <s v="2604004104"/>
    <m/>
    <x v="10"/>
    <s v="113"/>
    <s v="1"/>
    <x v="12"/>
    <m/>
    <s v="8534000499"/>
    <s v="CIRCUITO IMPRESO"/>
    <x v="11"/>
    <s v="5856.3"/>
    <m/>
    <m/>
    <m/>
    <s v="JUAN NOLASCO"/>
  </r>
  <r>
    <x v="2"/>
    <x v="2"/>
    <s v="0"/>
    <s v="JOGS TRANSPORTES"/>
    <s v="GSJO"/>
    <s v="JOGS TRANSPORTES"/>
    <m/>
    <m/>
    <m/>
    <m/>
    <m/>
    <m/>
    <m/>
    <m/>
    <s v="16/04/2026"/>
    <s v="00:00:00"/>
    <m/>
    <m/>
    <m/>
    <s v="STDS9-01164"/>
    <s v="JOHNSON ELECTRIC GROUP MEXICO S DE RL DE CV"/>
    <s v="01"/>
    <s v="01"/>
    <s v="JOHNSON ELECTRIC GROUP MEXICO S DE RL DE CV"/>
    <s v="JEGIN-42532"/>
    <s v="6089049"/>
    <s v="1"/>
    <s v="IN"/>
    <s v="NUEVO LAREDO, TAMAULIPAS."/>
    <s v="3483"/>
    <m/>
    <m/>
    <m/>
    <x v="0"/>
    <s v="BDE230489282,"/>
    <s v="TDS26-00245"/>
    <s v="16/04/2026"/>
    <s v="CD99125718"/>
    <s v="14/04/2026"/>
    <s v="$12,371.40"/>
    <m/>
    <m/>
    <s v="COMPAL USA"/>
    <s v="1 TECHNOLOGY WAY, LOGANSPORT IN, USA 46947"/>
    <s v="2604004104"/>
    <m/>
    <x v="10"/>
    <s v="113"/>
    <s v="2"/>
    <x v="13"/>
    <m/>
    <s v="8534000499"/>
    <s v="CIRCUITO IMPRESO"/>
    <x v="11"/>
    <s v="6515.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66"/>
    <s v="06/04/2026"/>
    <s v="$518.80"/>
    <m/>
    <s v="COVE2681ZNNT3"/>
    <s v="NAGASE CHEMTEX AMERICA LLC"/>
    <s v="100 INNOVATION COURT, DELAWARE OH, USA 43015"/>
    <s v="108757687904"/>
    <m/>
    <x v="11"/>
    <s v="37.479"/>
    <s v="1"/>
    <x v="14"/>
    <s v="7244B"/>
    <s v="3506919999"/>
    <s v="ADHESIVO A BASE DE RESINAS EPOXICAS"/>
    <x v="12"/>
    <s v="518.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86"/>
    <s v="07/04/2026"/>
    <s v="$2,472.52"/>
    <m/>
    <s v="COVE2681ZNNT3"/>
    <s v="NAGASE CHEMTEX AMERICA LLC"/>
    <s v="100 INNOVATION COURT, DELAWARE OH, USA 43015"/>
    <s v="108757687904"/>
    <m/>
    <x v="12"/>
    <s v="234.395"/>
    <s v="1"/>
    <x v="0"/>
    <m/>
    <s v="3506919999"/>
    <s v="ADHESIVO A BASE DE RESINAS EPOXICAS"/>
    <x v="12"/>
    <s v="2472.52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2"/>
    <s v="IN"/>
    <s v="NUEVO LAREDO, TAMAULIPAS."/>
    <s v="3483"/>
    <m/>
    <m/>
    <m/>
    <x v="0"/>
    <s v="BDE230489287,"/>
    <s v="TDS26-00232"/>
    <s v="14/04/2026"/>
    <s v="057987"/>
    <s v="07/04/2026"/>
    <s v="$3,115.25"/>
    <m/>
    <s v="COVE2681ZNNT3"/>
    <s v="NAGASE CHEMTEX AMERICA LLC"/>
    <s v="100 INNOVATION COURT, DELAWARE OH, USA 43015"/>
    <s v="108757687904"/>
    <m/>
    <x v="11"/>
    <s v="37.479"/>
    <s v="1"/>
    <x v="15"/>
    <m/>
    <s v="3506919999"/>
    <s v="ADHESIVO A BASE DE RESINAS EPOXICAS"/>
    <x v="13"/>
    <s v="3115.25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10"/>
    <s v="IN"/>
    <s v="NUEVO LAREDO, TAMAULIPAS."/>
    <s v="3483"/>
    <m/>
    <m/>
    <m/>
    <x v="0"/>
    <s v="BDE230489287,"/>
    <s v="TDS26-00198"/>
    <s v="26/03/2026"/>
    <s v="111119289"/>
    <s v="16/03/2026"/>
    <s v="$4,287.00"/>
    <m/>
    <s v="COVE2681ZU233"/>
    <s v="ELKEM SILICONES USA"/>
    <s v="7979 PARK PLACE ROAD, YORK SC, USA 29745"/>
    <s v="77125565190-2"/>
    <m/>
    <x v="13"/>
    <s v="220.462"/>
    <s v="1"/>
    <x v="16"/>
    <s v="7244B"/>
    <s v="3214100100"/>
    <s v="MASTIQUE A BASE DE PLASTICO"/>
    <x v="14"/>
    <s v="4287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9"/>
    <s v="IN"/>
    <s v="NUEVO LAREDO, TAMAULIPAS."/>
    <s v="3483"/>
    <m/>
    <m/>
    <m/>
    <x v="0"/>
    <s v="BDE230489287,"/>
    <s v="TDS26-00187"/>
    <s v="19/03/2026"/>
    <s v="2026-73454-00"/>
    <s v="12/03/2026"/>
    <s v="$1,106.10"/>
    <m/>
    <s v="COVE2681ZT1C7"/>
    <s v="ULTRACHEM INC"/>
    <s v="900 CENTERPOINT BLVD, NEW CASTLE DE, USA 19720"/>
    <s v="108715967803"/>
    <m/>
    <x v="14"/>
    <s v="210.056"/>
    <s v="1"/>
    <x v="17"/>
    <m/>
    <s v="3403999900"/>
    <s v="ACEITE LUBRICANTE SINTETICO"/>
    <x v="15"/>
    <s v="1106.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8"/>
    <s v="IN"/>
    <s v="NUEVO LAREDO, TAMAULIPAS."/>
    <s v="3483"/>
    <m/>
    <m/>
    <m/>
    <x v="1"/>
    <s v="BDE230489287,"/>
    <s v="TDS26-00209"/>
    <s v="30/03/2026"/>
    <s v="26018193"/>
    <s v="26/03/2026"/>
    <s v="$6,180.00"/>
    <m/>
    <s v="COVE2681ZS8W6"/>
    <s v="ENTEC POLYMERS"/>
    <s v="1900 SUMMIT TOWER BLVD, ORLANDO FLORIDA, USA 32810"/>
    <s v="I879347691"/>
    <m/>
    <x v="15"/>
    <s v="4409.245"/>
    <s v="1"/>
    <x v="18"/>
    <m/>
    <s v="3907100502"/>
    <s v="COPOLIMEROS DE TRIOXANO EN PELLETS"/>
    <x v="16"/>
    <s v="61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8"/>
    <s v="IN"/>
    <s v="NUEVO LAREDO, TAMAULIPAS."/>
    <s v="3483"/>
    <m/>
    <m/>
    <m/>
    <x v="1"/>
    <s v="BDE230489287,"/>
    <s v="TDS26-00209"/>
    <s v="30/03/2026"/>
    <s v="26021073"/>
    <s v="14/04/2026"/>
    <s v="$14,760.00"/>
    <m/>
    <s v="COVE2681ZS8W6"/>
    <s v="ENTEC POLYMERS"/>
    <s v="1900 SUMMIT TOWER BLVD, ORLANDO FLORIDA, USA 32810"/>
    <s v="I879347691"/>
    <m/>
    <x v="16"/>
    <s v="6613.868"/>
    <s v="1"/>
    <x v="19"/>
    <m/>
    <s v="3907100502"/>
    <s v="COPOLIMEROS DE TRIOXANO EN PELLETS"/>
    <x v="17"/>
    <s v="1476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11"/>
    <s v="IN"/>
    <s v="NUEVO LAREDO, TAMAULIPAS."/>
    <s v="3483"/>
    <m/>
    <m/>
    <m/>
    <x v="1"/>
    <s v="BDE230489287,"/>
    <s v="TDS26-00238"/>
    <s v="14/04/2026"/>
    <s v="279701"/>
    <s v="03/04/2026"/>
    <s v="$2,233.44"/>
    <m/>
    <s v="COVE2681ZUUF2"/>
    <s v="SMALLEY STEEL RING COMPANY"/>
    <s v="555 OAKWOOD ROAD, LAKE ZURICH IL, USA 60047"/>
    <s v="380212773580 ,497076,497077"/>
    <m/>
    <x v="5"/>
    <s v="31.284"/>
    <s v="1"/>
    <x v="7"/>
    <m/>
    <s v="7318210200"/>
    <s v="ARANDELA DE MUELLE"/>
    <x v="5"/>
    <s v="2233.44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1"/>
    <x v="20"/>
    <m/>
    <s v="8544499999"/>
    <s v="CABLE SIN CONEXION"/>
    <x v="18"/>
    <s v="3129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2"/>
    <x v="21"/>
    <m/>
    <s v="8544499999"/>
    <s v="CABLE SIN CONEXION"/>
    <x v="18"/>
    <s v="3129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6"/>
    <s v="IN"/>
    <s v="NUEVO LAREDO, TAMAULIPAS."/>
    <s v="3483"/>
    <m/>
    <m/>
    <m/>
    <x v="3"/>
    <s v="BDE230489287,"/>
    <s v="TDS26-00247"/>
    <s v="16/04/2026"/>
    <s v="42473-00"/>
    <s v="10/04/2026"/>
    <s v="$8,606.40"/>
    <m/>
    <s v="COVE2681ZR3D7"/>
    <s v="CONSOLIDATED ELECTRONIC WIRE &amp; CABLE INC."/>
    <s v="11044 KING STREET, FRANKLIN PARK IL, USA 60131"/>
    <s v="028-6088923"/>
    <m/>
    <x v="17"/>
    <s v="1100"/>
    <s v="3"/>
    <x v="22"/>
    <m/>
    <s v="8544499999"/>
    <s v="CABLE SIN CONEXION"/>
    <x v="19"/>
    <s v="2347.2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3"/>
    <s v="IN"/>
    <s v="NUEVO LAREDO, TAMAULIPAS."/>
    <s v="3483"/>
    <m/>
    <m/>
    <m/>
    <x v="0"/>
    <s v="BDE230489287,"/>
    <s v="TDS26-00235"/>
    <s v="14/04/2026"/>
    <s v="6100035113"/>
    <s v="23/03/2026"/>
    <s v="$9,540.00"/>
    <m/>
    <s v="COVE2681ZOG05"/>
    <s v="W.L. GORE AND ASSOCIATES INC"/>
    <s v="401 AIRPORT ROAD, ELKTON MD, USA 21921"/>
    <s v="513621523882 ,497156"/>
    <m/>
    <x v="18"/>
    <s v="47.223"/>
    <s v="1"/>
    <x v="23"/>
    <m/>
    <s v="4016930499"/>
    <s v="JUNTA"/>
    <x v="19"/>
    <s v="954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5"/>
    <s v="IN"/>
    <s v="NUEVO LAREDO, TAMAULIPAS."/>
    <s v="3483"/>
    <m/>
    <m/>
    <m/>
    <x v="0"/>
    <s v="BDE230489287,"/>
    <s v="TDS26-00246"/>
    <s v="16/04/2026"/>
    <s v="CD99125722"/>
    <s v="14/04/2026"/>
    <s v="$9,396.00"/>
    <m/>
    <s v="COVE2681ZQDF1"/>
    <s v="COMPAL USA"/>
    <s v="1 TECHNOLOGY WAY, LOGANSPORT IN, USA 46947"/>
    <s v="118-0244401"/>
    <m/>
    <x v="19"/>
    <s v="300"/>
    <s v="1"/>
    <x v="24"/>
    <m/>
    <s v="8534000499"/>
    <s v="TARJETA DE CIRCUITO IMPRESO"/>
    <x v="2"/>
    <s v="939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1"/>
    <x v="4"/>
    <s v="TAPA PLASTICA"/>
    <s v="3923500100"/>
    <s v="TAPA PLASTICA"/>
    <x v="20"/>
    <s v="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2"/>
    <x v="10"/>
    <m/>
    <s v="3923909900"/>
    <s v="CAJAS PLASTICA"/>
    <x v="21"/>
    <s v="160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7"/>
    <s v="IN"/>
    <s v="NUEVO LAREDO, TAMAULIPAS."/>
    <s v="3483"/>
    <m/>
    <m/>
    <m/>
    <x v="5"/>
    <s v="BDE230489287,"/>
    <s v="TDS26-00248"/>
    <s v="16/04/2026"/>
    <s v="MXO-26909"/>
    <s v="16/04/2026"/>
    <s v="$1,760.00"/>
    <m/>
    <s v="COVE2681ZRLU8"/>
    <s v="SAIA BURGESS AUTOMOTIVE ACTUATORS LLC"/>
    <s v="755 BILL JONES INDUSTRIAL DR, SPRINGFIELD TN, USA 37172"/>
    <s v="1931742"/>
    <m/>
    <x v="20"/>
    <s v="1555.582"/>
    <s v="3"/>
    <x v="6"/>
    <s v="TAPA PLASTICA"/>
    <s v="3923909900"/>
    <s v="BASE PLASTICA"/>
    <x v="20"/>
    <s v="80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2"/>
    <s v="6089049"/>
    <s v="4"/>
    <s v="IN"/>
    <s v="NUEVO LAREDO, TAMAULIPAS."/>
    <s v="3483"/>
    <m/>
    <m/>
    <m/>
    <x v="0"/>
    <s v="BDE230489287,"/>
    <s v="TDS26-00242"/>
    <s v="14/04/2026"/>
    <s v="NY640127"/>
    <s v="13/04/2026"/>
    <s v="$8,121.60"/>
    <m/>
    <s v="COVE2681ZPIT1"/>
    <s v="MABUCHI MOTOR AMERICA CORP"/>
    <s v="3001 WEST BIG BEAVER ROAD, TROY MI, USA 48084"/>
    <s v="NY640127"/>
    <m/>
    <x v="21"/>
    <s v="68"/>
    <s v="1"/>
    <x v="11"/>
    <m/>
    <s v="8501101004"/>
    <s v="MOTOR DE CORRIENTE DIRECTA"/>
    <x v="10"/>
    <s v="8121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2"/>
    <s v="IN"/>
    <s v="NUEVO LAREDO, TAMAULIPAS."/>
    <s v="3483"/>
    <m/>
    <m/>
    <m/>
    <x v="0"/>
    <s v="BDE230489287,"/>
    <s v="TDS26-00149"/>
    <s v="04/03/2026"/>
    <s v="36258061"/>
    <s v="04/03/2026"/>
    <s v="$534.60"/>
    <m/>
    <m/>
    <s v="RADWELL INTERNATIONAL LLC"/>
    <s v="1 MILLENIUM DRIVE, WILLINGBORO NEW JERSEY, USA 08046"/>
    <s v="417366879986 ,494432-"/>
    <m/>
    <x v="22"/>
    <s v="8"/>
    <s v="1"/>
    <x v="25"/>
    <m/>
    <s v="8504401300"/>
    <s v="CONTROLADOR DE VELOCIDAD PARA MOTOR"/>
    <x v="13"/>
    <s v="534.6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3"/>
    <s v="IN"/>
    <s v="NUEVO LAREDO, TAMAULIPAS."/>
    <s v="3483"/>
    <m/>
    <m/>
    <m/>
    <x v="0"/>
    <s v="BDE230489287,"/>
    <s v="TDS26-00180"/>
    <s v="19/03/2026"/>
    <s v="36278395"/>
    <s v="05/03/2026"/>
    <s v="$536.80"/>
    <m/>
    <m/>
    <s v="RADWELL INTERNATIONAL LLC"/>
    <s v="1 MILLENIUM DRIVE, WILLINGBORO NEW JERSEY, USA 08046"/>
    <s v="417366908438,495350"/>
    <m/>
    <x v="22"/>
    <s v="8"/>
    <s v="1"/>
    <x v="26"/>
    <m/>
    <s v="8536100300"/>
    <s v="FUSIBLES"/>
    <x v="22"/>
    <s v="536.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4"/>
    <s v="IN"/>
    <s v="NUEVO LAREDO, TAMAULIPAS."/>
    <s v="3483"/>
    <m/>
    <m/>
    <m/>
    <x v="0"/>
    <s v="BDE230489287,"/>
    <s v="TDS26-00239"/>
    <s v="14/04/2026"/>
    <s v="36346481"/>
    <s v="26/03/2026"/>
    <s v="$195.58"/>
    <m/>
    <m/>
    <s v="RADWELL INTERNATIONAL LLC"/>
    <s v="1 MILLENIUM DRIVE, WILLINGBORO NEW JERSEY, USA 08046"/>
    <s v="519018787108 ,497075"/>
    <m/>
    <x v="22"/>
    <s v="8"/>
    <s v="1"/>
    <x v="27"/>
    <m/>
    <s v="8501310300"/>
    <s v="SERVOMOTOR"/>
    <x v="13"/>
    <s v="195.58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5"/>
    <s v="IN"/>
    <s v="NUEVO LAREDO, TAMAULIPAS."/>
    <s v="3483"/>
    <m/>
    <m/>
    <m/>
    <x v="0"/>
    <s v="BDE230489287,"/>
    <s v="TDS26-00237"/>
    <s v="14/04/2026"/>
    <s v="36367001"/>
    <s v="01/04/2026"/>
    <s v="$76.21"/>
    <m/>
    <m/>
    <s v="RADWELL INTERNATIONAL LLC"/>
    <s v="1 MILLENIUM DRIVE, WILLINGBORO NEW JERSEY, USA 08046"/>
    <s v="519018813040 ,497099"/>
    <m/>
    <x v="22"/>
    <s v="8"/>
    <s v="1"/>
    <x v="28"/>
    <m/>
    <s v="8536509999"/>
    <s v="SENSOR DE PROXIMIDAD"/>
    <x v="13"/>
    <s v="76.21"/>
    <m/>
    <m/>
    <m/>
    <s v="JUAN NOLASCO"/>
  </r>
  <r>
    <x v="3"/>
    <x v="3"/>
    <s v="0"/>
    <s v="LISAS TRANSPORT"/>
    <s v="LSSO"/>
    <s v="LISAS TRANSPORT"/>
    <m/>
    <m/>
    <m/>
    <m/>
    <m/>
    <m/>
    <m/>
    <m/>
    <s v="17/04/2026"/>
    <s v="00:00:00"/>
    <m/>
    <m/>
    <m/>
    <s v="STDS9-01165"/>
    <s v="JOHNSON ELECTRIC GROUP MEXICO S DE RL DE CV"/>
    <s v="01"/>
    <s v="01"/>
    <s v="JOHNSON ELECTRIC GROUP MEXICO S DE RL DE CV"/>
    <s v="JEGIN-42533"/>
    <s v="6089050"/>
    <s v="1"/>
    <s v="IN"/>
    <s v="NUEVO LAREDO, TAMAULIPAS."/>
    <s v="3483"/>
    <m/>
    <m/>
    <m/>
    <x v="0"/>
    <s v="BDE230489287,"/>
    <s v="TDS26-00251"/>
    <s v="16/04/2026"/>
    <s v="62955465"/>
    <s v="09/04/2026"/>
    <s v="$47.80"/>
    <m/>
    <m/>
    <s v="MC MASTER-CARR SUPPLY COMPANY"/>
    <s v="9630 NORWALK BLVD, SANTA FE SPRING CA, USA 90670"/>
    <s v="512609708440"/>
    <m/>
    <x v="23"/>
    <s v="2.205"/>
    <s v="1"/>
    <x v="29"/>
    <m/>
    <s v="4016930499"/>
    <s v="JUNTA DE CAUCHO"/>
    <x v="23"/>
    <s v="47.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"/>
    <x v="30"/>
    <m/>
    <s v="8471500100"/>
    <s v="UNIDAD DE PROCESO"/>
    <x v="3"/>
    <s v="674.9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2"/>
    <x v="31"/>
    <m/>
    <s v="8504409900"/>
    <s v="CONVRTIDOR ESTATICO"/>
    <x v="13"/>
    <s v="15.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3"/>
    <x v="32"/>
    <m/>
    <s v="8534000402"/>
    <s v="CIRCUITO MULTICAPAS"/>
    <x v="12"/>
    <s v="619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4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5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6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7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8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9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0"/>
    <x v="37"/>
    <m/>
    <s v="8529909991"/>
    <s v="PARTE PARA CAMARA"/>
    <x v="13"/>
    <s v="67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1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2"/>
    <x v="37"/>
    <m/>
    <s v="8529909991"/>
    <s v="PARTE PARA CAMARA"/>
    <x v="12"/>
    <s v="271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3"/>
    <x v="38"/>
    <m/>
    <s v="8544429904"/>
    <s v="CABLE DE COBRE PROVISTO DE PIEZAS DE CONEXION"/>
    <x v="13"/>
    <s v="7.7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4"/>
    <x v="39"/>
    <m/>
    <s v="8471909900"/>
    <s v="UNIDAD EXTERNA DE PROCESAMIENTO DE DATOS"/>
    <x v="13"/>
    <s v="82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5"/>
    <x v="39"/>
    <m/>
    <s v="8471909900"/>
    <s v="UNIDAD EXTERNA DE PROCESAMIENTO DE DATOS"/>
    <x v="24"/>
    <s v="580.93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6"/>
    <x v="40"/>
    <m/>
    <s v="9002110100"/>
    <s v="LENTES PARA CAMARA"/>
    <x v="13"/>
    <s v="95.0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GVL-TKJC-WD11"/>
    <s v="06/04/2026"/>
    <s v="$2,954.15"/>
    <m/>
    <s v="COVE26822O2M4"/>
    <s v="JOHNSON ELECTRIC NORTH AMERICA INC"/>
    <s v="47660 HALYARD DRIVE, PLYMOUTH MICHIGAN, USA 48170"/>
    <s v="111-8495533-9976235"/>
    <m/>
    <x v="24"/>
    <s v="118"/>
    <s v="17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1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2"/>
    <x v="42"/>
    <m/>
    <s v="8544429904"/>
    <s v="CABLE"/>
    <x v="13"/>
    <s v="4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3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4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MTM-PXM1-6JLW"/>
    <s v="28/03/2026"/>
    <s v="$350.42"/>
    <m/>
    <s v="COVE26822O2M4"/>
    <s v="JOHNSON ELECTRIC NORTH AMERICA INC"/>
    <s v="47660 HALYARD DRIVE, PLYMOUTH MICHIGAN, USA 48170"/>
    <s v="111-8495533-9976235"/>
    <m/>
    <x v="24"/>
    <s v="118"/>
    <s v="5"/>
    <x v="39"/>
    <m/>
    <s v="8471909900"/>
    <s v="UNIDAD EXTERNA DE PROCESAMIENTO DE DATOS"/>
    <x v="13"/>
    <s v="82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"/>
    <x v="32"/>
    <m/>
    <s v="8534000402"/>
    <s v="CIRCUITO MULTICAPAS"/>
    <x v="13"/>
    <s v="154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3"/>
    <x v="33"/>
    <m/>
    <s v="9032899900"/>
    <s v="TERMOPAR"/>
    <x v="13"/>
    <s v="22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4"/>
    <x v="42"/>
    <m/>
    <s v="8544429904"/>
    <s v="CABLE"/>
    <x v="13"/>
    <s v="4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5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6"/>
    <x v="42"/>
    <m/>
    <s v="8544429904"/>
    <s v="CABLE"/>
    <x v="3"/>
    <s v="22.4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7"/>
    <x v="42"/>
    <m/>
    <s v="8544429904"/>
    <s v="CABLE"/>
    <x v="15"/>
    <s v="26.9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8"/>
    <x v="34"/>
    <m/>
    <s v="8517621799"/>
    <s v="APARATO DE TRANSMISION"/>
    <x v="13"/>
    <s v="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9"/>
    <x v="34"/>
    <m/>
    <s v="8517621799"/>
    <s v="APARATO DE TRANSMISION"/>
    <x v="25"/>
    <s v="39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0"/>
    <x v="43"/>
    <m/>
    <s v="9002110100"/>
    <s v="LENTE PARA CAMARA"/>
    <x v="26"/>
    <s v="445.4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1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2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3"/>
    <x v="35"/>
    <m/>
    <s v="8529909991"/>
    <s v="PARTE PARA CAMARA"/>
    <x v="26"/>
    <s v="467.9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4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5"/>
    <x v="35"/>
    <m/>
    <s v="8529909991"/>
    <s v="PARTE PARA CAMARA"/>
    <x v="6"/>
    <s v="103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6"/>
    <x v="35"/>
    <m/>
    <s v="8529909991"/>
    <s v="PARTE PARA CAMARA"/>
    <x v="0"/>
    <s v="155.9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7"/>
    <x v="35"/>
    <m/>
    <s v="8529909991"/>
    <s v="PARTE PARA CAMARA"/>
    <x v="15"/>
    <s v="311.9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8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19"/>
    <x v="36"/>
    <m/>
    <s v="8529909991"/>
    <s v="PARTE PARA CAMARA"/>
    <x v="0"/>
    <s v="193.0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0"/>
    <x v="36"/>
    <m/>
    <s v="8529909991"/>
    <s v="PARTE PARA CAMARA"/>
    <x v="0"/>
    <s v="193.0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1"/>
    <x v="37"/>
    <m/>
    <s v="8529909991"/>
    <s v="PARTE PARA CAMARA"/>
    <x v="12"/>
    <s v="271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2"/>
    <x v="38"/>
    <m/>
    <s v="8544429904"/>
    <s v="CABLE DE COBRE PROVISTO DE PIEZAS DE CONEXION"/>
    <x v="25"/>
    <s v="62.3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3"/>
    <x v="44"/>
    <m/>
    <s v="9002110100"/>
    <s v="LENTES PARA CAMARA"/>
    <x v="13"/>
    <s v="78.5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4"/>
    <x v="40"/>
    <m/>
    <s v="9002110100"/>
    <s v="LENTES PARA CAMARA"/>
    <x v="12"/>
    <s v="380.2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5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KC-XL3T-GNRW"/>
    <s v="21/03/2026"/>
    <s v="$3,891.35"/>
    <m/>
    <s v="COVE26822O2M4"/>
    <s v="JOHNSON ELECTRIC NORTH AMERICA INC"/>
    <s v="47660 HALYARD DRIVE, PLYMOUTH MICHIGAN, USA 48170"/>
    <s v="111-8495533-9976235"/>
    <m/>
    <x v="24"/>
    <s v="118"/>
    <s v="26"/>
    <x v="41"/>
    <m/>
    <s v="9002110100"/>
    <s v="LENTES PARA CAMARA"/>
    <x v="13"/>
    <s v="98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"/>
    <x v="45"/>
    <m/>
    <s v="9002110100"/>
    <s v="JUEGO DE LENTES PARA CAMARA"/>
    <x v="15"/>
    <s v="653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2"/>
    <x v="30"/>
    <m/>
    <s v="8471500100"/>
    <s v="UNIDAD DE PROCESO"/>
    <x v="13"/>
    <s v="134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3"/>
    <x v="31"/>
    <m/>
    <s v="8504409900"/>
    <s v="CONVRTIDOR ESTATICO"/>
    <x v="26"/>
    <s v="143.1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4"/>
    <x v="46"/>
    <m/>
    <s v="8528520201"/>
    <s v="MONITOR PARA COMPUTADORA"/>
    <x v="22"/>
    <s v="393.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5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6"/>
    <x v="42"/>
    <m/>
    <s v="8544429904"/>
    <s v="CABLE"/>
    <x v="6"/>
    <s v="8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7"/>
    <x v="43"/>
    <m/>
    <s v="9002110100"/>
    <s v="LENTE PARA CAMARA"/>
    <x v="13"/>
    <s v="49.4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8"/>
    <x v="35"/>
    <m/>
    <s v="8529909991"/>
    <s v="PARTE PARA CAMARA"/>
    <x v="13"/>
    <s v="51.9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9"/>
    <x v="36"/>
    <m/>
    <s v="8529909991"/>
    <s v="PARTE PARA CAMARA"/>
    <x v="13"/>
    <s v="64.34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0"/>
    <x v="37"/>
    <m/>
    <s v="8529909991"/>
    <s v="PARTE PARA CAMARA"/>
    <x v="6"/>
    <s v="13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1"/>
    <x v="38"/>
    <m/>
    <s v="8544429904"/>
    <s v="CABLE DE COBRE PROVISTO DE PIEZAS DE CONEXION"/>
    <x v="13"/>
    <s v="7.79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NNT-T7QR-14M1"/>
    <s v="15/03/2026"/>
    <s v="$1,818.16"/>
    <m/>
    <s v="COVE26822O2M4"/>
    <s v="JOHNSON ELECTRIC NORTH AMERICA INC"/>
    <s v="47660 HALYARD DRIVE, PLYMOUTH MICHIGAN, USA 48170"/>
    <s v="111-8495533-9976235"/>
    <m/>
    <x v="24"/>
    <s v="118"/>
    <s v="12"/>
    <x v="39"/>
    <m/>
    <s v="8471909900"/>
    <s v="UNIDAD EXTERNA DE PROCESAMIENTO DE DATOS"/>
    <x v="6"/>
    <s v="165.98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1"/>
    <x v="46"/>
    <m/>
    <s v="8528520201"/>
    <s v="MONITOR PARA COMPUTADORA"/>
    <x v="13"/>
    <s v="39.32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2"/>
    <x v="42"/>
    <m/>
    <s v="8544429904"/>
    <s v="CABLE"/>
    <x v="0"/>
    <s v="13.4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3"/>
    <x v="42"/>
    <m/>
    <s v="8544429904"/>
    <s v="CABLE"/>
    <x v="0"/>
    <s v="13.47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1"/>
    <s v="IN"/>
    <s v="NUEVO LAREDO, TAMAULIPAS."/>
    <s v="3483"/>
    <m/>
    <m/>
    <m/>
    <x v="6"/>
    <s v="BDE230489283,"/>
    <s v="TDS26-00166"/>
    <s v="12/03/2026"/>
    <s v="1VTT-3L6Y-C366"/>
    <s v="10/03/2026"/>
    <s v="$84.22"/>
    <m/>
    <s v="COVE26822O2M4"/>
    <s v="JOHNSON ELECTRIC NORTH AMERICA INC"/>
    <s v="47660 HALYARD DRIVE, PLYMOUTH MICHIGAN, USA 48170"/>
    <s v="111-8495533-9976235"/>
    <m/>
    <x v="24"/>
    <s v="118"/>
    <s v="4"/>
    <x v="42"/>
    <m/>
    <s v="8544429904"/>
    <s v="CABLE"/>
    <x v="12"/>
    <s v="17.96"/>
    <m/>
    <m/>
    <m/>
    <s v="JUAN NOLASCO"/>
  </r>
  <r>
    <x v="4"/>
    <x v="4"/>
    <s v="0"/>
    <s v="LISAS TRANSPORT"/>
    <s v="LSSO"/>
    <s v="LISAS TRANSPORT"/>
    <m/>
    <m/>
    <m/>
    <m/>
    <m/>
    <m/>
    <m/>
    <m/>
    <s v="20/04/2026"/>
    <s v="00:00:00"/>
    <m/>
    <m/>
    <m/>
    <s v="STDS9-01166"/>
    <s v="JOHNSON ELECTRIC GROUP MEXICO S DE RL DE CV"/>
    <s v="01"/>
    <s v="01"/>
    <s v="JOHNSON ELECTRIC GROUP MEXICO S DE RL DE CV"/>
    <s v="JEGIN-42707"/>
    <s v="6089052"/>
    <s v="2"/>
    <s v="IN"/>
    <s v="NUEVO LAREDO, TAMAULIPAS."/>
    <s v="3483"/>
    <m/>
    <m/>
    <m/>
    <x v="3"/>
    <s v="BDE230489283,"/>
    <s v="TDS26-00244"/>
    <s v="14/04/2026"/>
    <s v="20483199"/>
    <s v="14/04/2026"/>
    <s v="$14,760.00"/>
    <m/>
    <m/>
    <s v="ENTEC POLYMERS"/>
    <s v="1900 SUMMIT TOWER BLVD, ORLANDO FLORIDA, USA 32810"/>
    <s v="20483199"/>
    <m/>
    <x v="16"/>
    <s v="6613.868"/>
    <s v="1"/>
    <x v="19"/>
    <m/>
    <s v="3907100502"/>
    <s v="COPOLIMEROS DE TRIOXANO EN PELLETS"/>
    <x v="17"/>
    <s v="14760"/>
    <m/>
    <m/>
    <m/>
    <s v="JUAN NOLASCO"/>
  </r>
  <r>
    <x v="5"/>
    <x v="5"/>
    <s v="0"/>
    <s v="PAN AMERICAN EXPRESS INC."/>
    <s v="PANAMERICA"/>
    <s v="PAN AMERICAN EXPRESS INC."/>
    <m/>
    <m/>
    <m/>
    <m/>
    <m/>
    <m/>
    <m/>
    <m/>
    <s v="21/04/2026"/>
    <s v="00:00:00"/>
    <m/>
    <m/>
    <m/>
    <s v="STDS9-01167"/>
    <s v="JOHNSON ELECTRIC GROUP MEXICO S DE RL DE CV"/>
    <s v="01"/>
    <s v="01"/>
    <s v="JOHNSON ELECTRIC GROUP MEXICO S DE RL DE CV"/>
    <s v="JEGAF-42709"/>
    <s v="6089054"/>
    <s v="1"/>
    <s v="AF"/>
    <s v="NUEVO LAREDO, TAMAULIPAS."/>
    <s v="3483"/>
    <m/>
    <m/>
    <m/>
    <x v="1"/>
    <s v="BDE230489288,"/>
    <s v="TDS26-00253"/>
    <s v="21/04/2026"/>
    <s v="50800043560"/>
    <s v="21/04/2026"/>
    <s v="$11,579.85"/>
    <m/>
    <m/>
    <s v="JOHNSON ELECTRIC NORTH AMERICA INC"/>
    <s v="47660 HALYARD DRIVE, PLYMOUTH MICHIGAN, USA 48170"/>
    <s v="T233805"/>
    <m/>
    <x v="4"/>
    <s v="400"/>
    <s v="1"/>
    <x v="47"/>
    <m/>
    <s v="9031809999"/>
    <s v="MAQUINA PARA MEDICION DE COORDENADAS DESENSAMBLADA CON ACCESORIOS PARA SU USO"/>
    <x v="13"/>
    <s v="11579.85"/>
    <m/>
    <m/>
    <m/>
    <s v="JUAN NOLASCO"/>
  </r>
  <r>
    <x v="6"/>
    <x v="6"/>
    <s v="0"/>
    <s v="JOGS TRANSPORTES"/>
    <s v="GSJO"/>
    <s v="JOGS TRANSPORTES"/>
    <m/>
    <m/>
    <m/>
    <m/>
    <m/>
    <m/>
    <m/>
    <m/>
    <s v="22/04/2026"/>
    <s v="00:00:00"/>
    <m/>
    <m/>
    <m/>
    <s v="STDS9-01168"/>
    <s v="JOHNSON ELECTRIC GROUP MEXICO S DE RL DE CV"/>
    <s v="01"/>
    <s v="01"/>
    <s v="JOHNSON ELECTRIC GROUP MEXICO S DE RL DE CV"/>
    <s v="JEGIN-42743"/>
    <s v="6082017"/>
    <s v="1"/>
    <s v="IN"/>
    <s v="COLOMBIA, COLOMBIA, NUEVO LEON."/>
    <s v="3483"/>
    <m/>
    <m/>
    <m/>
    <x v="0"/>
    <s v="BDE230489284,"/>
    <s v="TDS26-00254"/>
    <s v="22/04/2026"/>
    <s v="11871416-1"/>
    <s v="10/04/2026"/>
    <s v="$730.55"/>
    <m/>
    <m/>
    <s v="KRAYDEN INC"/>
    <s v="1491 WEST 124 TH AVENUE, WESTMINSTER CO, USA 80234"/>
    <s v="471164304034,498065"/>
    <m/>
    <x v="25"/>
    <s v="44.092"/>
    <s v="1"/>
    <x v="48"/>
    <s v="HT744908"/>
    <s v="3506919999"/>
    <s v="JGO DE ADHESIVO A BASE DE RESINA EPOXICA Y ENDURECEDOR"/>
    <x v="3"/>
    <s v="730.5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8"/>
    <s v="IN"/>
    <s v="NUEVO LAREDO, TAMAULIPAS."/>
    <s v="3483"/>
    <m/>
    <m/>
    <m/>
    <x v="0"/>
    <s v="BDE230489285,"/>
    <s v="TDS26-00260"/>
    <s v="22/04/2026"/>
    <s v="058030"/>
    <s v="13/04/2026"/>
    <s v="$1,854.39"/>
    <m/>
    <m/>
    <s v="NAGASE CHEMTEX AMERICA LLC"/>
    <s v="100 INNOVATION COURT, DELAWARE OH, USA 43015"/>
    <s v="087-2741843"/>
    <m/>
    <x v="0"/>
    <s v="175.797"/>
    <s v="1"/>
    <x v="0"/>
    <m/>
    <s v="3506919999"/>
    <s v="ADHESIVO A BASE DE RESINAS EPOXICAS"/>
    <x v="0"/>
    <s v="1854.3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7"/>
    <s v="IN"/>
    <s v="NUEVO LAREDO, TAMAULIPAS."/>
    <s v="3483"/>
    <m/>
    <m/>
    <m/>
    <x v="0"/>
    <s v="BDE230489285,"/>
    <s v="TDS26-00259"/>
    <s v="22/04/2026"/>
    <s v="058055"/>
    <s v="16/04/2026"/>
    <s v="$3,115.25"/>
    <m/>
    <m/>
    <s v="NAGASE CHEMTEX AMERICA LLC"/>
    <s v="100 INNOVATION COURT, DELAWARE OH, USA 43015"/>
    <s v="0872741844"/>
    <m/>
    <x v="11"/>
    <s v="37.479"/>
    <s v="1"/>
    <x v="15"/>
    <m/>
    <s v="3506919999"/>
    <s v="ADHESIVO A BASE DE RESINAS EPOXICAS"/>
    <x v="13"/>
    <s v="3115.2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5"/>
    <s v="IN"/>
    <s v="NUEVO LAREDO, TAMAULIPAS."/>
    <s v="3483"/>
    <m/>
    <m/>
    <m/>
    <x v="0"/>
    <s v="BDE230489285,"/>
    <s v="TDS26-00233"/>
    <s v="14/04/2026"/>
    <s v="103489"/>
    <s v="01/04/2026"/>
    <s v="$17,280.00"/>
    <m/>
    <m/>
    <s v="M. LIZEN MANUFACTURING CO."/>
    <s v="S/N 2625 FEDERAL SIGNAL DRIVE, UNIVERSITY PARK ILLINOIS , USA 60484"/>
    <s v="709730136"/>
    <m/>
    <x v="26"/>
    <s v="150"/>
    <s v="1"/>
    <x v="49"/>
    <m/>
    <s v="8536909999"/>
    <s v="CONTACTOR PARA ESCOBILLA"/>
    <x v="27"/>
    <s v="1728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6"/>
    <s v="IN"/>
    <s v="NUEVO LAREDO, TAMAULIPAS."/>
    <s v="3483"/>
    <m/>
    <m/>
    <m/>
    <x v="1"/>
    <s v="BDE230489285,"/>
    <s v="TDS26-00223"/>
    <s v="09/04/2026"/>
    <s v="111119507"/>
    <s v="27/03/2026"/>
    <s v="$12,861.00"/>
    <m/>
    <m/>
    <s v="ELKEM SILICONES USA"/>
    <s v="7979 PARK PLACE ROAD, YORK SC, USA 29745"/>
    <s v="010-7382269"/>
    <m/>
    <x v="27"/>
    <s v="661.387"/>
    <s v="1"/>
    <x v="50"/>
    <s v="7244A"/>
    <s v="3214100100"/>
    <s v="MASTIQUE A BASE DE PLASTICO"/>
    <x v="28"/>
    <s v="6430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6"/>
    <s v="IN"/>
    <s v="NUEVO LAREDO, TAMAULIPAS."/>
    <s v="3483"/>
    <m/>
    <m/>
    <m/>
    <x v="1"/>
    <s v="BDE230489285,"/>
    <s v="TDS26-00223"/>
    <s v="09/04/2026"/>
    <s v="111119507"/>
    <s v="27/03/2026"/>
    <s v="$12,861.00"/>
    <m/>
    <m/>
    <s v="ELKEM SILICONES USA"/>
    <s v="7979 PARK PLACE ROAD, YORK SC, USA 29745"/>
    <s v="010-7382269"/>
    <m/>
    <x v="27"/>
    <s v="661.387"/>
    <s v="2"/>
    <x v="16"/>
    <s v="7244B"/>
    <s v="3214100100"/>
    <s v="MASTIQUE A BASE DE PLASTICO"/>
    <x v="28"/>
    <s v="6430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4"/>
    <s v="IN"/>
    <s v="NUEVO LAREDO, TAMAULIPAS."/>
    <s v="3483"/>
    <m/>
    <m/>
    <m/>
    <x v="0"/>
    <s v="BDE230489285,"/>
    <s v="TDS26-00218"/>
    <s v="09/04/2026"/>
    <s v="211430"/>
    <s v="30/03/2026"/>
    <s v="$1,626.00"/>
    <m/>
    <m/>
    <s v="T&amp;C STAMPING INC"/>
    <s v="S/N 1403 FREEMAN AVENUE, ATHENS ALABAMA, USA 35613"/>
    <s v="10836564530-5"/>
    <m/>
    <x v="28"/>
    <s v="70"/>
    <s v="1"/>
    <x v="51"/>
    <m/>
    <s v="8503009999"/>
    <s v="ENSAMBLE DE TAPA FINAL"/>
    <x v="29"/>
    <s v="813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4"/>
    <s v="IN"/>
    <s v="NUEVO LAREDO, TAMAULIPAS."/>
    <s v="3483"/>
    <m/>
    <m/>
    <m/>
    <x v="0"/>
    <s v="BDE230489285,"/>
    <s v="TDS26-00218"/>
    <s v="09/04/2026"/>
    <s v="211430"/>
    <s v="30/03/2026"/>
    <s v="$1,626.00"/>
    <m/>
    <m/>
    <s v="T&amp;C STAMPING INC"/>
    <s v="S/N 1403 FREEMAN AVENUE, ATHENS ALABAMA, USA 35613"/>
    <s v="10836564530-5"/>
    <m/>
    <x v="28"/>
    <s v="70"/>
    <s v="2"/>
    <x v="51"/>
    <m/>
    <s v="8503009999"/>
    <s v="ENSAMBLE DE TAPA FINAL"/>
    <x v="29"/>
    <s v="813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3"/>
    <s v="IN"/>
    <s v="NUEVO LAREDO, TAMAULIPAS."/>
    <s v="3483"/>
    <m/>
    <m/>
    <m/>
    <x v="0"/>
    <s v="BDE230489285,"/>
    <s v="TDS26-00226"/>
    <s v="09/04/2026"/>
    <s v="90918270"/>
    <s v="25/03/2026"/>
    <s v="$634.90"/>
    <m/>
    <m/>
    <s v="EFC INTERNATIONAL"/>
    <s v="S/N 4150 CHANDLER DRIVE, HANOVER PARK ILLINOIS, USA 60133"/>
    <s v="399935447220"/>
    <m/>
    <x v="29"/>
    <s v="55"/>
    <s v="1"/>
    <x v="52"/>
    <m/>
    <s v="7318150400"/>
    <s v="TORNILLO DE ACERO"/>
    <x v="30"/>
    <s v="634.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3"/>
    <s v="IN"/>
    <s v="NUEVO LAREDO, TAMAULIPAS."/>
    <s v="3483"/>
    <m/>
    <m/>
    <m/>
    <x v="0"/>
    <s v="BDE230489285,"/>
    <s v="TDS26-00258"/>
    <s v="22/04/2026"/>
    <s v="CD99125719"/>
    <s v="14/04/2026"/>
    <s v="$1,904.50"/>
    <m/>
    <m/>
    <s v="COMPAL USA"/>
    <s v="1 TECHNOLOGY WAY, LOGANSPORT IN, USA 46947"/>
    <s v="870688263908"/>
    <m/>
    <x v="30"/>
    <s v="9"/>
    <s v="1"/>
    <x v="53"/>
    <s v="243192201"/>
    <s v="8534000499"/>
    <s v="CIRCUITO IMPRESO"/>
    <x v="31"/>
    <s v="1904.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3"/>
    <s v="IN"/>
    <s v="NUEVO LAREDO, TAMAULIPAS."/>
    <s v="3483"/>
    <m/>
    <m/>
    <m/>
    <x v="0"/>
    <s v="BDE230489285,"/>
    <s v="TDS26-00258"/>
    <s v="22/04/2026"/>
    <s v="CD99125720"/>
    <s v="14/04/2026"/>
    <s v="$1,183.72"/>
    <m/>
    <m/>
    <s v="COMPAL USA"/>
    <s v="1 TECHNOLOGY WAY, LOGANSPORT IN, USA 46947"/>
    <s v="870688263908"/>
    <m/>
    <x v="30"/>
    <s v="9"/>
    <s v="1"/>
    <x v="53"/>
    <s v="243192201"/>
    <s v="8534000499"/>
    <s v="CIRCUITO IMPRESO"/>
    <x v="32"/>
    <s v="1183.72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1"/>
    <x v="4"/>
    <s v="TAPA PLASTICA"/>
    <s v="3923500100"/>
    <s v="TAPA PLASTICA"/>
    <x v="13"/>
    <s v="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2"/>
    <x v="5"/>
    <m/>
    <s v="3923100301"/>
    <s v="CHAROLA PLASTICA"/>
    <x v="33"/>
    <s v="24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9"/>
    <s v="IN"/>
    <s v="NUEVO LAREDO, TAMAULIPAS."/>
    <s v="3483"/>
    <m/>
    <m/>
    <m/>
    <x v="0"/>
    <s v="BDE230489285,"/>
    <s v="TDS26-00261"/>
    <s v="22/04/2026"/>
    <s v="JEMEX42226"/>
    <s v="22/04/2026"/>
    <s v="$250.00"/>
    <m/>
    <m/>
    <s v="DETROIT THERMAL SYSTEMS"/>
    <s v="6505 COGSWELL ST., ROMULUS MI, USA 48174"/>
    <s v="41895-"/>
    <m/>
    <x v="3"/>
    <s v="200"/>
    <s v="3"/>
    <x v="6"/>
    <s v="TAPA PLASTICA"/>
    <s v="3923909900"/>
    <s v="BASE PLASTICA"/>
    <x v="13"/>
    <s v="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1"/>
    <x v="4"/>
    <s v="TAPA PLASTICA"/>
    <s v="3923500100"/>
    <s v="TAPA PLASTICA"/>
    <x v="34"/>
    <s v="6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2"/>
    <x v="10"/>
    <m/>
    <s v="3923909900"/>
    <s v="CAJAS PLASTICA"/>
    <x v="35"/>
    <s v="1205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0"/>
    <s v="IN"/>
    <s v="NUEVO LAREDO, TAMAULIPAS."/>
    <s v="3483"/>
    <m/>
    <m/>
    <m/>
    <x v="7"/>
    <s v="BDE230489285,"/>
    <s v="TDS26-00262"/>
    <s v="24/04/2026"/>
    <s v="MXO-26913"/>
    <s v="24/04/2026"/>
    <s v="$1,325.00"/>
    <m/>
    <m/>
    <s v="SAIA BURGESS AUTOMOTIVE ACTUATORS LLC"/>
    <s v="755 BILL JONES INDUSTRIAL DR, SPRINGFIELD TN, USA 37172"/>
    <s v="MXO-26913"/>
    <m/>
    <x v="31"/>
    <s v="529.98"/>
    <s v="3"/>
    <x v="6"/>
    <s v="TAPA PLASTICA"/>
    <s v="3923909900"/>
    <s v="BASE PLASTICA"/>
    <x v="34"/>
    <s v="60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7"/>
    <s v="6089052"/>
    <s v="11"/>
    <s v="IN"/>
    <s v="NUEVO LAREDO, TAMAULIPAS."/>
    <s v="3483"/>
    <m/>
    <m/>
    <m/>
    <x v="0"/>
    <s v="BDE230489285,"/>
    <s v="TDS26-00263"/>
    <s v="24/04/2026"/>
    <s v="NY640226"/>
    <s v="20/04/2026"/>
    <s v="$8,121.60"/>
    <m/>
    <m/>
    <s v="MABUCHI MOTOR AMERICA CORP"/>
    <s v="3001 WEST BIG BEAVER ROAD, TROY MI, USA 48084"/>
    <s v="NY640226"/>
    <m/>
    <x v="32"/>
    <s v="149.914"/>
    <s v="1"/>
    <x v="11"/>
    <m/>
    <s v="8501101004"/>
    <s v="MOTOR DE CORRIENTE DIRECTA"/>
    <x v="10"/>
    <s v="8121.6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1"/>
    <x v="54"/>
    <m/>
    <s v="8483100801"/>
    <s v="FLECHA"/>
    <x v="6"/>
    <s v="190.62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2"/>
    <x v="55"/>
    <m/>
    <s v="8483100801"/>
    <s v="FLECHA"/>
    <x v="13"/>
    <s v="971.89"/>
    <m/>
    <m/>
    <m/>
    <s v="JUAN NOLASCO"/>
  </r>
  <r>
    <x v="7"/>
    <x v="7"/>
    <s v="0"/>
    <s v="LISAS TRANSPORT"/>
    <s v="LSSO"/>
    <s v="LISAS TRANSPORT"/>
    <m/>
    <m/>
    <m/>
    <m/>
    <m/>
    <m/>
    <m/>
    <m/>
    <s v="24/04/2026"/>
    <s v="00:00:00"/>
    <m/>
    <m/>
    <m/>
    <s v="STDS9-01169"/>
    <s v="JOHNSON ELECTRIC GROUP MEXICO S DE RL DE CV"/>
    <s v="01"/>
    <s v="01"/>
    <s v="JOHNSON ELECTRIC GROUP MEXICO S DE RL DE CV"/>
    <s v="JEGIN-42708"/>
    <s v="6089053"/>
    <s v="1"/>
    <s v="IN"/>
    <s v="NUEVO LAREDO, TAMAULIPAS."/>
    <s v="3483"/>
    <m/>
    <m/>
    <m/>
    <x v="0"/>
    <s v="BDE230489285,"/>
    <s v="TDS26-00257"/>
    <s v="22/04/2026"/>
    <s v="097725"/>
    <s v="13/04/2026"/>
    <s v="$2,134.40"/>
    <m/>
    <m/>
    <s v="SEHO NORTH AMERICA INC"/>
    <s v="1445 JAMIKE DR, ERLANGER KY, USA 41018"/>
    <s v="870611703950 ,498066"/>
    <m/>
    <x v="22"/>
    <s v="8"/>
    <s v="3"/>
    <x v="55"/>
    <m/>
    <s v="8483100801"/>
    <s v="FLECHA"/>
    <x v="13"/>
    <s v="971.89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1"/>
    <s v="IN"/>
    <s v="NUEVO LAREDO, TAMAULIPAS."/>
    <s v="3483"/>
    <m/>
    <m/>
    <m/>
    <x v="0"/>
    <s v="BDE230489289,"/>
    <s v="TDS26-00224"/>
    <s v="09/04/2026"/>
    <s v="26019312"/>
    <s v="03/04/2026"/>
    <s v="$5,270.00"/>
    <m/>
    <s v="COVE2682HA9E5"/>
    <s v="ENTEC POLYMERS"/>
    <s v="1900 SUMMIT TOWER BLVD, ORLANDO FLORIDA, USA 32810"/>
    <s v="102218564-01"/>
    <m/>
    <x v="33"/>
    <s v="2204.623"/>
    <s v="1"/>
    <x v="56"/>
    <m/>
    <s v="3902309900"/>
    <s v="ELASTOMERO TERMOPLASTICO EN FORMA PRIMARIA"/>
    <x v="36"/>
    <s v="527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1"/>
    <x v="57"/>
    <m/>
    <s v="8413309902"/>
    <s v="BOMBA DE AGUA"/>
    <x v="37"/>
    <s v="27228.1199976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2"/>
    <x v="4"/>
    <s v="TAPA PLASTICA"/>
    <s v="3923500100"/>
    <s v="TAPA PLASTICA"/>
    <x v="15"/>
    <s v="3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3"/>
    <x v="10"/>
    <m/>
    <s v="3923909900"/>
    <s v="CAJAS PLASTICA"/>
    <x v="38"/>
    <s v="600"/>
    <m/>
    <m/>
    <m/>
    <s v="JUAN NOLASCO"/>
  </r>
  <r>
    <x v="8"/>
    <x v="8"/>
    <s v="0"/>
    <s v="LISAS TRANSPORT"/>
    <s v="LSSO"/>
    <s v="LISAS TRANSPORT"/>
    <m/>
    <m/>
    <m/>
    <m/>
    <m/>
    <m/>
    <m/>
    <m/>
    <s v="27/04/2026"/>
    <s v="00:00:00"/>
    <m/>
    <m/>
    <m/>
    <s v="STDS9-01170"/>
    <s v="JOHNSON ELECTRIC GROUP MEXICO S DE RL DE CV"/>
    <s v="01"/>
    <s v="01"/>
    <s v="JOHNSON ELECTRIC GROUP MEXICO S DE RL DE CV"/>
    <s v="JEGIN-42900"/>
    <s v="6089055"/>
    <s v="2"/>
    <s v="IN"/>
    <s v="NUEVO LAREDO, TAMAULIPAS."/>
    <s v="3483"/>
    <m/>
    <m/>
    <m/>
    <x v="8"/>
    <s v="BDE230489289,"/>
    <s v="TDS26-00264"/>
    <s v="27/04/2026"/>
    <s v="MXO-26917"/>
    <s v="27/04/2026"/>
    <s v="$27,888.12"/>
    <m/>
    <s v="COVE2682HF294"/>
    <s v="SAIA BURGESS AUTOMOTIVE ACTUATORS LLC"/>
    <s v="755 BILL JONES INDUSTRIAL DR, SPRINGFIELD TN, USA 37172"/>
    <s v="MXO-26917"/>
    <m/>
    <x v="34"/>
    <s v="4108.535"/>
    <s v="4"/>
    <x v="6"/>
    <s v="TAPA PLASTICA"/>
    <s v="3923909900"/>
    <s v="BASE PLASTICA"/>
    <x v="15"/>
    <s v="30"/>
    <m/>
    <m/>
    <m/>
    <s v="JUAN NOLAS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6C1F7-1002-4CF7-94F1-96024D25A9A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07" firstHeaderRow="1" firstDataRow="1" firstDataCol="6"/>
  <pivotFields count="59">
    <pivotField axis="axisRow" compact="0" outline="0" showAll="0" defaultSubtotal="0">
      <items count="9">
        <item x="1"/>
        <item x="5"/>
        <item x="2"/>
        <item x="0"/>
        <item x="3"/>
        <item x="4"/>
        <item x="6"/>
        <item x="7"/>
        <item x="8"/>
      </items>
    </pivotField>
    <pivotField axis="axisRow" compact="0" outline="0" showAll="0" defaultSubtotal="0">
      <items count="9">
        <item x="2"/>
        <item x="6"/>
        <item x="0"/>
        <item x="8"/>
        <item x="7"/>
        <item x="3"/>
        <item x="4"/>
        <item x="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7"/>
        <item x="5"/>
        <item x="4"/>
        <item x="1"/>
        <item x="3"/>
        <item x="6"/>
        <item x="2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5">
        <item x="23"/>
        <item x="6"/>
        <item x="13"/>
        <item x="33"/>
        <item x="12"/>
        <item x="19"/>
        <item x="9"/>
        <item x="5"/>
        <item x="11"/>
        <item x="4"/>
        <item x="34"/>
        <item x="25"/>
        <item x="15"/>
        <item x="18"/>
        <item x="29"/>
        <item x="31"/>
        <item x="7"/>
        <item x="22"/>
        <item x="21"/>
        <item x="27"/>
        <item x="16"/>
        <item x="28"/>
        <item x="30"/>
        <item x="1"/>
        <item x="17"/>
        <item x="10"/>
        <item x="24"/>
        <item x="32"/>
        <item x="26"/>
        <item x="20"/>
        <item x="8"/>
        <item x="0"/>
        <item x="2"/>
        <item x="3"/>
        <item x="14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8">
        <item x="20"/>
        <item x="21"/>
        <item x="22"/>
        <item x="19"/>
        <item x="56"/>
        <item x="18"/>
        <item x="0"/>
        <item x="14"/>
        <item x="50"/>
        <item x="16"/>
        <item x="15"/>
        <item x="7"/>
        <item x="47"/>
        <item x="51"/>
        <item x="49"/>
        <item x="2"/>
        <item x="24"/>
        <item x="13"/>
        <item x="12"/>
        <item x="3"/>
        <item x="9"/>
        <item x="23"/>
        <item x="1"/>
        <item x="53"/>
        <item x="57"/>
        <item x="11"/>
        <item x="8"/>
        <item x="38"/>
        <item x="52"/>
        <item x="27"/>
        <item x="29"/>
        <item x="55"/>
        <item x="54"/>
        <item x="28"/>
        <item x="43"/>
        <item x="36"/>
        <item x="35"/>
        <item x="37"/>
        <item x="41"/>
        <item x="34"/>
        <item x="45"/>
        <item x="6"/>
        <item x="10"/>
        <item x="5"/>
        <item x="26"/>
        <item x="42"/>
        <item x="46"/>
        <item x="31"/>
        <item x="25"/>
        <item x="44"/>
        <item x="48"/>
        <item x="17"/>
        <item x="39"/>
        <item x="4"/>
        <item x="33"/>
        <item x="30"/>
        <item x="32"/>
        <item x="4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13"/>
        <item x="22"/>
        <item x="14"/>
        <item x="36"/>
        <item x="34"/>
        <item x="38"/>
        <item x="30"/>
        <item x="28"/>
        <item x="29"/>
        <item x="20"/>
        <item x="8"/>
        <item x="6"/>
        <item x="16"/>
        <item x="1"/>
        <item x="32"/>
        <item x="4"/>
        <item x="35"/>
        <item x="11"/>
        <item x="0"/>
        <item x="17"/>
        <item x="19"/>
        <item x="21"/>
        <item x="31"/>
        <item x="9"/>
        <item x="5"/>
        <item x="12"/>
        <item x="23"/>
        <item x="18"/>
        <item x="7"/>
        <item x="33"/>
        <item x="3"/>
        <item x="15"/>
        <item x="24"/>
        <item x="37"/>
        <item x="25"/>
        <item x="2"/>
        <item x="10"/>
        <item x="26"/>
        <item x="2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0"/>
    <field x="1"/>
    <field x="49"/>
    <field x="53"/>
    <field x="33"/>
    <field x="46"/>
  </rowFields>
  <rowItems count="104">
    <i>
      <x/>
      <x v="7"/>
      <x v="20"/>
      <x v="28"/>
      <x v="5"/>
      <x v="16"/>
    </i>
    <i r="2">
      <x v="25"/>
      <x v="36"/>
      <x/>
      <x v="6"/>
    </i>
    <i r="2">
      <x v="41"/>
      <x v="10"/>
      <x v="3"/>
      <x v="30"/>
    </i>
    <i r="2">
      <x v="42"/>
      <x v="23"/>
      <x v="3"/>
      <x v="30"/>
    </i>
    <i r="2">
      <x v="53"/>
      <x v="10"/>
      <x v="3"/>
      <x v="30"/>
    </i>
    <i>
      <x v="1"/>
      <x v="8"/>
      <x v="12"/>
      <x/>
      <x v="4"/>
      <x v="9"/>
    </i>
    <i>
      <x v="2"/>
      <x/>
      <x v="17"/>
      <x v="17"/>
      <x/>
      <x v="25"/>
    </i>
    <i r="2">
      <x v="18"/>
      <x v="17"/>
      <x/>
      <x v="25"/>
    </i>
    <i>
      <x v="3"/>
      <x v="2"/>
      <x v="6"/>
      <x v="18"/>
      <x/>
      <x v="31"/>
    </i>
    <i r="2">
      <x v="11"/>
      <x v="24"/>
      <x v="4"/>
      <x v="7"/>
    </i>
    <i r="2">
      <x v="15"/>
      <x v="13"/>
      <x v="4"/>
      <x v="32"/>
    </i>
    <i r="2">
      <x v="19"/>
      <x v="35"/>
      <x/>
      <x v="33"/>
    </i>
    <i r="2">
      <x v="22"/>
      <x v="13"/>
      <x/>
      <x v="23"/>
    </i>
    <i r="2">
      <x v="26"/>
      <x v="11"/>
      <x/>
      <x v="1"/>
    </i>
    <i r="2">
      <x v="41"/>
      <x v="30"/>
      <x v="7"/>
      <x v="9"/>
    </i>
    <i r="2">
      <x v="43"/>
      <x v="15"/>
      <x v="7"/>
      <x v="9"/>
    </i>
    <i r="2">
      <x v="53"/>
      <x v="30"/>
      <x v="7"/>
      <x v="9"/>
    </i>
    <i>
      <x v="4"/>
      <x v="5"/>
      <x/>
      <x v="27"/>
      <x v="5"/>
      <x v="24"/>
    </i>
    <i r="2">
      <x v="1"/>
      <x v="27"/>
      <x v="5"/>
      <x v="24"/>
    </i>
    <i r="2">
      <x v="2"/>
      <x v="20"/>
      <x v="5"/>
      <x v="24"/>
    </i>
    <i r="2">
      <x v="3"/>
      <x v="19"/>
      <x v="4"/>
      <x v="20"/>
    </i>
    <i r="2">
      <x v="5"/>
      <x v="12"/>
      <x v="4"/>
      <x v="12"/>
    </i>
    <i r="2">
      <x v="6"/>
      <x v="25"/>
      <x/>
      <x v="4"/>
    </i>
    <i r="2">
      <x v="7"/>
      <x v="25"/>
      <x/>
      <x v="8"/>
    </i>
    <i r="2">
      <x v="9"/>
      <x v="2"/>
      <x/>
      <x v="2"/>
    </i>
    <i r="2">
      <x v="10"/>
      <x/>
      <x/>
      <x v="8"/>
    </i>
    <i r="2">
      <x v="11"/>
      <x v="24"/>
      <x v="4"/>
      <x v="7"/>
    </i>
    <i r="2">
      <x v="16"/>
      <x v="35"/>
      <x/>
      <x v="5"/>
    </i>
    <i r="2">
      <x v="21"/>
      <x v="20"/>
      <x/>
      <x v="13"/>
    </i>
    <i r="2">
      <x v="25"/>
      <x v="36"/>
      <x/>
      <x v="18"/>
    </i>
    <i r="2">
      <x v="29"/>
      <x/>
      <x/>
      <x v="17"/>
    </i>
    <i r="2">
      <x v="30"/>
      <x v="26"/>
      <x/>
      <x/>
    </i>
    <i r="2">
      <x v="33"/>
      <x/>
      <x/>
      <x v="17"/>
    </i>
    <i r="2">
      <x v="41"/>
      <x v="9"/>
      <x v="2"/>
      <x v="29"/>
    </i>
    <i r="2">
      <x v="42"/>
      <x v="21"/>
      <x v="2"/>
      <x v="29"/>
    </i>
    <i r="2">
      <x v="44"/>
      <x v="1"/>
      <x/>
      <x v="17"/>
    </i>
    <i r="2">
      <x v="48"/>
      <x/>
      <x/>
      <x v="17"/>
    </i>
    <i r="2">
      <x v="51"/>
      <x v="31"/>
      <x/>
      <x v="34"/>
    </i>
    <i r="2">
      <x v="53"/>
      <x v="9"/>
      <x v="2"/>
      <x v="29"/>
    </i>
    <i>
      <x v="5"/>
      <x v="6"/>
      <x v="3"/>
      <x v="19"/>
      <x v="5"/>
      <x v="20"/>
    </i>
    <i r="2">
      <x v="27"/>
      <x/>
      <x v="6"/>
      <x v="26"/>
    </i>
    <i r="3">
      <x v="34"/>
      <x v="6"/>
      <x v="26"/>
    </i>
    <i r="2">
      <x v="34"/>
      <x/>
      <x v="6"/>
      <x v="26"/>
    </i>
    <i r="3">
      <x v="37"/>
      <x v="6"/>
      <x v="26"/>
    </i>
    <i r="2">
      <x v="35"/>
      <x/>
      <x v="6"/>
      <x v="26"/>
    </i>
    <i r="3">
      <x v="18"/>
      <x v="6"/>
      <x v="26"/>
    </i>
    <i r="2">
      <x v="36"/>
      <x/>
      <x v="6"/>
      <x v="26"/>
    </i>
    <i r="3">
      <x v="11"/>
      <x v="6"/>
      <x v="26"/>
    </i>
    <i r="3">
      <x v="18"/>
      <x v="6"/>
      <x v="26"/>
    </i>
    <i r="3">
      <x v="31"/>
      <x v="6"/>
      <x v="26"/>
    </i>
    <i r="3">
      <x v="37"/>
      <x v="6"/>
      <x v="26"/>
    </i>
    <i r="2">
      <x v="37"/>
      <x/>
      <x v="6"/>
      <x v="26"/>
    </i>
    <i r="3">
      <x v="11"/>
      <x v="6"/>
      <x v="26"/>
    </i>
    <i r="3">
      <x v="25"/>
      <x v="6"/>
      <x v="26"/>
    </i>
    <i r="2">
      <x v="38"/>
      <x/>
      <x v="6"/>
      <x v="26"/>
    </i>
    <i r="2">
      <x v="39"/>
      <x/>
      <x v="6"/>
      <x v="26"/>
    </i>
    <i r="3">
      <x v="34"/>
      <x v="6"/>
      <x v="26"/>
    </i>
    <i r="2">
      <x v="40"/>
      <x v="31"/>
      <x v="6"/>
      <x v="26"/>
    </i>
    <i r="2">
      <x v="45"/>
      <x/>
      <x v="6"/>
      <x v="26"/>
    </i>
    <i r="3">
      <x v="11"/>
      <x v="6"/>
      <x v="26"/>
    </i>
    <i r="3">
      <x v="18"/>
      <x v="6"/>
      <x v="26"/>
    </i>
    <i r="3">
      <x v="25"/>
      <x v="6"/>
      <x v="26"/>
    </i>
    <i r="3">
      <x v="30"/>
      <x v="6"/>
      <x v="26"/>
    </i>
    <i r="3">
      <x v="31"/>
      <x v="6"/>
      <x v="26"/>
    </i>
    <i r="2">
      <x v="46"/>
      <x/>
      <x v="6"/>
      <x v="26"/>
    </i>
    <i r="3">
      <x v="1"/>
      <x v="6"/>
      <x v="26"/>
    </i>
    <i r="2">
      <x v="47"/>
      <x/>
      <x v="6"/>
      <x v="26"/>
    </i>
    <i r="3">
      <x v="37"/>
      <x v="6"/>
      <x v="26"/>
    </i>
    <i r="2">
      <x v="49"/>
      <x/>
      <x v="6"/>
      <x v="26"/>
    </i>
    <i r="2">
      <x v="52"/>
      <x/>
      <x v="6"/>
      <x v="26"/>
    </i>
    <i r="3">
      <x v="11"/>
      <x v="6"/>
      <x v="26"/>
    </i>
    <i r="3">
      <x v="32"/>
      <x v="6"/>
      <x v="26"/>
    </i>
    <i r="2">
      <x v="54"/>
      <x/>
      <x v="6"/>
      <x v="26"/>
    </i>
    <i r="2">
      <x v="55"/>
      <x/>
      <x v="6"/>
      <x v="26"/>
    </i>
    <i r="3">
      <x v="30"/>
      <x v="6"/>
      <x v="26"/>
    </i>
    <i r="2">
      <x v="56"/>
      <x/>
      <x v="6"/>
      <x v="26"/>
    </i>
    <i r="3">
      <x v="25"/>
      <x v="6"/>
      <x v="26"/>
    </i>
    <i r="2">
      <x v="57"/>
      <x/>
      <x v="6"/>
      <x v="26"/>
    </i>
    <i r="3">
      <x v="25"/>
      <x v="6"/>
      <x v="26"/>
    </i>
    <i>
      <x v="6"/>
      <x v="1"/>
      <x v="50"/>
      <x v="30"/>
      <x/>
      <x v="11"/>
    </i>
    <i>
      <x v="7"/>
      <x v="4"/>
      <x v="6"/>
      <x v="18"/>
      <x/>
      <x v="31"/>
    </i>
    <i r="2">
      <x v="8"/>
      <x v="7"/>
      <x v="4"/>
      <x v="19"/>
    </i>
    <i r="2">
      <x v="9"/>
      <x v="7"/>
      <x v="4"/>
      <x v="19"/>
    </i>
    <i r="2">
      <x v="10"/>
      <x/>
      <x/>
      <x v="8"/>
    </i>
    <i r="2">
      <x v="13"/>
      <x v="8"/>
      <x/>
      <x v="21"/>
    </i>
    <i r="2">
      <x v="14"/>
      <x v="38"/>
      <x/>
      <x v="28"/>
    </i>
    <i r="2">
      <x v="23"/>
      <x v="14"/>
      <x/>
      <x v="22"/>
    </i>
    <i r="3">
      <x v="22"/>
      <x/>
      <x v="22"/>
    </i>
    <i r="2">
      <x v="25"/>
      <x v="36"/>
      <x/>
      <x v="27"/>
    </i>
    <i r="2">
      <x v="28"/>
      <x v="6"/>
      <x/>
      <x v="14"/>
    </i>
    <i r="2">
      <x v="31"/>
      <x/>
      <x/>
      <x v="17"/>
    </i>
    <i r="2">
      <x v="32"/>
      <x v="11"/>
      <x/>
      <x v="17"/>
    </i>
    <i r="2">
      <x v="41"/>
      <x/>
      <x/>
      <x v="33"/>
    </i>
    <i r="3">
      <x v="4"/>
      <x v="1"/>
      <x v="15"/>
    </i>
    <i r="2">
      <x v="42"/>
      <x v="16"/>
      <x v="1"/>
      <x v="15"/>
    </i>
    <i r="2">
      <x v="43"/>
      <x v="29"/>
      <x/>
      <x v="33"/>
    </i>
    <i r="2">
      <x v="53"/>
      <x/>
      <x/>
      <x v="33"/>
    </i>
    <i r="3">
      <x v="4"/>
      <x v="1"/>
      <x v="15"/>
    </i>
    <i>
      <x v="8"/>
      <x v="3"/>
      <x v="4"/>
      <x v="3"/>
      <x/>
      <x v="3"/>
    </i>
    <i r="2">
      <x v="24"/>
      <x v="33"/>
      <x v="8"/>
      <x v="10"/>
    </i>
    <i r="2">
      <x v="41"/>
      <x v="31"/>
      <x v="8"/>
      <x v="10"/>
    </i>
    <i r="2">
      <x v="42"/>
      <x v="5"/>
      <x v="8"/>
      <x v="10"/>
    </i>
    <i r="2">
      <x v="53"/>
      <x v="31"/>
      <x v="8"/>
      <x v="10"/>
    </i>
    <i t="grand">
      <x/>
    </i>
  </rowItems>
  <colItems count="1">
    <i/>
  </colItems>
  <formats count="85">
    <format dxfId="2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3">
            <x v="29"/>
            <x v="30"/>
            <x v="33"/>
          </reference>
        </references>
      </pivotArea>
    </format>
    <format dxfId="2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29"/>
          </reference>
          <reference field="53" count="1">
            <x v="0"/>
          </reference>
        </references>
      </pivotArea>
    </format>
    <format dxfId="2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0"/>
          </reference>
          <reference field="53" count="1">
            <x v="26"/>
          </reference>
        </references>
      </pivotArea>
    </format>
    <format dxfId="2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3"/>
          </reference>
          <reference field="53" count="1">
            <x v="0"/>
          </reference>
        </references>
      </pivotArea>
    </format>
    <format dxfId="250">
      <pivotArea dataOnly="0" labelOnly="1" outline="0" offset="IV4:IV256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16"/>
          </reference>
          <reference field="53" count="1" selected="0">
            <x v="35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29"/>
          </reference>
          <reference field="53" count="1" selected="0">
            <x v="0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0"/>
          </reference>
          <reference field="49" count="1" selected="0">
            <x v="30"/>
          </reference>
          <reference field="53" count="1" selected="0">
            <x v="26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33"/>
          </reference>
          <reference field="53" count="1" selected="0">
            <x v="0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3">
            <x v="29"/>
            <x v="30"/>
            <x v="33"/>
          </reference>
        </references>
      </pivotArea>
    </format>
    <format dxfId="2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29"/>
          </reference>
          <reference field="53" count="1">
            <x v="0"/>
          </reference>
        </references>
      </pivotArea>
    </format>
    <format dxfId="2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0"/>
          </reference>
          <reference field="53" count="1">
            <x v="26"/>
          </reference>
        </references>
      </pivotArea>
    </format>
    <format dxfId="2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33"/>
          </reference>
          <reference field="53" count="1">
            <x v="0"/>
          </reference>
        </references>
      </pivotArea>
    </format>
    <format dxfId="242">
      <pivotArea dataOnly="0" labelOnly="1" outline="0" offset="IV4:IV256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16"/>
          </reference>
          <reference field="53" count="1" selected="0">
            <x v="35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29"/>
          </reference>
          <reference field="53" count="1" selected="0">
            <x v="0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0"/>
          </reference>
          <reference field="49" count="1" selected="0">
            <x v="30"/>
          </reference>
          <reference field="53" count="1" selected="0">
            <x v="26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33"/>
          </reference>
          <reference field="53" count="1" selected="0">
            <x v="0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9" count="2">
            <x v="44"/>
            <x v="48"/>
          </reference>
        </references>
      </pivotArea>
    </format>
    <format dxfId="2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44"/>
          </reference>
          <reference field="53" count="1">
            <x v="1"/>
          </reference>
        </references>
      </pivotArea>
    </format>
    <format dxfId="2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"/>
          </reference>
          <reference field="49" count="1" selected="0">
            <x v="48"/>
          </reference>
          <reference field="53" count="1">
            <x v="0"/>
          </reference>
        </references>
      </pivotArea>
    </format>
    <format dxfId="235">
      <pivotArea dataOnly="0" labelOnly="1" outline="0" offset="IV1:IV2" fieldPosition="0">
        <references count="5">
          <reference field="0" count="1" selected="0">
            <x v="4"/>
          </reference>
          <reference field="1" count="1" selected="0">
            <x v="5"/>
          </reference>
          <reference field="33" count="1">
            <x v="0"/>
          </reference>
          <reference field="49" count="1" selected="0">
            <x v="44"/>
          </reference>
          <reference field="53" count="1" selected="0">
            <x v="1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44"/>
          </reference>
          <reference field="53" count="1" selected="0">
            <x v="1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"/>
          </reference>
          <reference field="33" count="1" selected="0">
            <x v="0"/>
          </reference>
          <reference field="46" count="1">
            <x v="17"/>
          </reference>
          <reference field="49" count="1" selected="0">
            <x v="48"/>
          </reference>
          <reference field="53" count="1" selected="0">
            <x v="0"/>
          </reference>
        </references>
      </pivotArea>
    </format>
    <format dxfId="232">
      <pivotArea dataOnly="0" labelOnly="1" outline="0" offset="IV1:IV39" fieldPosition="0">
        <references count="1">
          <reference field="0" count="1">
            <x v="5"/>
          </reference>
        </references>
      </pivotArea>
    </format>
    <format dxfId="231">
      <pivotArea dataOnly="0" labelOnly="1" outline="0" offset="IV1:IV39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49" count="17">
            <x v="3"/>
            <x v="27"/>
            <x v="34"/>
            <x v="35"/>
            <x v="36"/>
            <x v="37"/>
            <x v="38"/>
            <x v="39"/>
            <x v="40"/>
            <x v="45"/>
            <x v="46"/>
            <x v="47"/>
            <x v="49"/>
            <x v="52"/>
            <x v="54"/>
            <x v="55"/>
            <x v="56"/>
          </reference>
        </references>
      </pivotArea>
    </format>
    <format dxfId="229">
      <pivotArea dataOnly="0" labelOnly="1" outline="0" offset="IV1" fieldPosition="0">
        <references count="3">
          <reference field="0" count="1" selected="0">
            <x v="5"/>
          </reference>
          <reference field="1" count="1" selected="0">
            <x v="6"/>
          </reference>
          <reference field="49" count="1">
            <x v="57"/>
          </reference>
        </references>
      </pivotArea>
    </format>
    <format dxfId="22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"/>
          </reference>
          <reference field="53" count="1">
            <x v="19"/>
          </reference>
        </references>
      </pivotArea>
    </format>
    <format dxfId="22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27"/>
          </reference>
          <reference field="53" count="2">
            <x v="0"/>
            <x v="34"/>
          </reference>
        </references>
      </pivotArea>
    </format>
    <format dxfId="22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4"/>
          </reference>
          <reference field="53" count="2">
            <x v="0"/>
            <x v="37"/>
          </reference>
        </references>
      </pivotArea>
    </format>
    <format dxfId="22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5"/>
          </reference>
          <reference field="53" count="2">
            <x v="0"/>
            <x v="18"/>
          </reference>
        </references>
      </pivotArea>
    </format>
    <format dxfId="22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6"/>
          </reference>
          <reference field="53" count="5">
            <x v="0"/>
            <x v="11"/>
            <x v="18"/>
            <x v="31"/>
            <x v="37"/>
          </reference>
        </references>
      </pivotArea>
    </format>
    <format dxfId="22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7"/>
          </reference>
          <reference field="53" count="3">
            <x v="0"/>
            <x v="11"/>
            <x v="25"/>
          </reference>
        </references>
      </pivotArea>
    </format>
    <format dxfId="22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8"/>
          </reference>
          <reference field="53" count="1">
            <x v="0"/>
          </reference>
        </references>
      </pivotArea>
    </format>
    <format dxfId="22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39"/>
          </reference>
          <reference field="53" count="1">
            <x v="34"/>
          </reference>
        </references>
      </pivotArea>
    </format>
    <format dxfId="22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0"/>
          </reference>
          <reference field="53" count="1">
            <x v="31"/>
          </reference>
        </references>
      </pivotArea>
    </format>
    <format dxfId="219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5"/>
          </reference>
          <reference field="53" count="6">
            <x v="0"/>
            <x v="11"/>
            <x v="18"/>
            <x v="25"/>
            <x v="30"/>
            <x v="31"/>
          </reference>
        </references>
      </pivotArea>
    </format>
    <format dxfId="218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6"/>
          </reference>
          <reference field="53" count="2">
            <x v="0"/>
            <x v="1"/>
          </reference>
        </references>
      </pivotArea>
    </format>
    <format dxfId="217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7"/>
          </reference>
          <reference field="53" count="2">
            <x v="0"/>
            <x v="37"/>
          </reference>
        </references>
      </pivotArea>
    </format>
    <format dxfId="21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49"/>
          </reference>
          <reference field="53" count="1">
            <x v="0"/>
          </reference>
        </references>
      </pivotArea>
    </format>
    <format dxfId="21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2"/>
          </reference>
          <reference field="53" count="2">
            <x v="11"/>
            <x v="32"/>
          </reference>
        </references>
      </pivotArea>
    </format>
    <format dxfId="21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4"/>
          </reference>
          <reference field="53" count="1">
            <x v="0"/>
          </reference>
        </references>
      </pivotArea>
    </format>
    <format dxfId="213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5"/>
          </reference>
          <reference field="53" count="1">
            <x v="30"/>
          </reference>
        </references>
      </pivotArea>
    </format>
    <format dxfId="212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6"/>
          </reference>
          <reference field="53" count="2">
            <x v="0"/>
            <x v="25"/>
          </reference>
        </references>
      </pivotArea>
    </format>
    <format dxfId="21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"/>
          </reference>
          <reference field="49" count="1" selected="0">
            <x v="57"/>
          </reference>
          <reference field="53" count="1">
            <x v="0"/>
          </reference>
        </references>
      </pivotArea>
    </format>
    <format dxfId="21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33" count="1">
            <x v="5"/>
          </reference>
          <reference field="49" count="1" selected="0">
            <x v="3"/>
          </reference>
          <reference field="53" count="1" selected="0">
            <x v="19"/>
          </reference>
        </references>
      </pivotArea>
    </format>
    <format dxfId="209">
      <pivotArea dataOnly="0" labelOnly="1" outline="0" offset="IV1:IV38" fieldPosition="0">
        <references count="5">
          <reference field="0" count="1" selected="0">
            <x v="5"/>
          </reference>
          <reference field="1" count="1" selected="0">
            <x v="6"/>
          </reference>
          <reference field="33" count="1">
            <x v="6"/>
          </reference>
          <reference field="49" count="1" selected="0">
            <x v="27"/>
          </reference>
          <reference field="53" count="1" selected="0">
            <x v="0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5"/>
          </reference>
          <reference field="46" count="1">
            <x v="20"/>
          </reference>
          <reference field="49" count="1" selected="0">
            <x v="3"/>
          </reference>
          <reference field="53" count="1" selected="0">
            <x v="19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27"/>
          </reference>
          <reference field="53" count="1" selected="0">
            <x v="0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27"/>
          </reference>
          <reference field="53" count="1" selected="0">
            <x v="34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4"/>
          </reference>
          <reference field="53" count="1" selected="0">
            <x v="0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4"/>
          </reference>
          <reference field="53" count="1" selected="0">
            <x v="37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5"/>
          </reference>
          <reference field="53" count="1" selected="0">
            <x v="0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5"/>
          </reference>
          <reference field="53" count="1" selected="0">
            <x v="18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0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11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18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31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6"/>
          </reference>
          <reference field="53" count="1" selected="0">
            <x v="37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0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11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7"/>
          </reference>
          <reference field="53" count="1" selected="0">
            <x v="25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8"/>
          </reference>
          <reference field="53" count="1" selected="0">
            <x v="0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9"/>
          </reference>
          <reference field="53" count="1" selected="0">
            <x v="0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39"/>
          </reference>
          <reference field="53" count="1" selected="0">
            <x v="34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0"/>
          </reference>
          <reference field="53" count="1" selected="0">
            <x v="31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0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11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18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25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30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5"/>
          </reference>
          <reference field="53" count="1" selected="0">
            <x v="31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6"/>
          </reference>
          <reference field="53" count="1" selected="0">
            <x v="0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6"/>
          </reference>
          <reference field="53" count="1" selected="0">
            <x v="1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7"/>
          </reference>
          <reference field="53" count="1" selected="0">
            <x v="0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7"/>
          </reference>
          <reference field="53" count="1" selected="0">
            <x v="37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49"/>
          </reference>
          <reference field="53" count="1" selected="0">
            <x v="0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0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11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2"/>
          </reference>
          <reference field="53" count="1" selected="0">
            <x v="32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4"/>
          </reference>
          <reference field="53" count="1" selected="0">
            <x v="0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5"/>
          </reference>
          <reference field="53" count="1" selected="0">
            <x v="0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5"/>
          </reference>
          <reference field="53" count="1" selected="0">
            <x v="30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6"/>
          </reference>
          <reference field="53" count="1" selected="0">
            <x v="0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6"/>
          </reference>
          <reference field="53" count="1" selected="0">
            <x v="25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"/>
          </reference>
          <reference field="33" count="1" selected="0">
            <x v="6"/>
          </reference>
          <reference field="46" count="1">
            <x v="26"/>
          </reference>
          <reference field="49" count="1" selected="0">
            <x v="57"/>
          </reference>
          <reference field="53" count="1" selected="0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2B47-D31C-4771-811E-7D8ACCEB9817}">
  <dimension ref="A3:I107"/>
  <sheetViews>
    <sheetView topLeftCell="A34" zoomScale="115" zoomScaleNormal="115" workbookViewId="0">
      <selection activeCell="I13" sqref="I13"/>
    </sheetView>
  </sheetViews>
  <sheetFormatPr defaultRowHeight="14.5" x14ac:dyDescent="0.35"/>
  <cols>
    <col min="1" max="1" width="24" customWidth="1"/>
    <col min="3" max="3" width="24.08984375" customWidth="1"/>
    <col min="6" max="6" width="16.54296875" bestFit="1" customWidth="1"/>
  </cols>
  <sheetData>
    <row r="3" spans="1:9" x14ac:dyDescent="0.35">
      <c r="A3" s="8" t="s">
        <v>734</v>
      </c>
      <c r="B3" s="8" t="s">
        <v>0</v>
      </c>
      <c r="C3" s="8" t="s">
        <v>48</v>
      </c>
      <c r="D3" s="8" t="s">
        <v>52</v>
      </c>
      <c r="E3" s="8" t="s">
        <v>32</v>
      </c>
      <c r="F3" s="8" t="s">
        <v>45</v>
      </c>
      <c r="G3" t="s">
        <v>745</v>
      </c>
      <c r="H3" t="s">
        <v>748</v>
      </c>
    </row>
    <row r="4" spans="1:9" x14ac:dyDescent="0.35">
      <c r="A4" t="s">
        <v>736</v>
      </c>
      <c r="B4" t="s">
        <v>200</v>
      </c>
      <c r="C4" t="s">
        <v>211</v>
      </c>
      <c r="D4" t="s">
        <v>212</v>
      </c>
      <c r="E4" t="s">
        <v>88</v>
      </c>
      <c r="F4" t="s">
        <v>209</v>
      </c>
      <c r="G4" t="str">
        <f>+VLOOKUP(C4,[1]Sheet1!$B:$C,2,0)</f>
        <v>M46</v>
      </c>
      <c r="H4" s="12" t="e">
        <f>F4/SUM(F4:F8)</f>
        <v>#DIV/0!</v>
      </c>
    </row>
    <row r="5" spans="1:9" x14ac:dyDescent="0.35">
      <c r="C5" t="s">
        <v>235</v>
      </c>
      <c r="D5" t="s">
        <v>238</v>
      </c>
      <c r="E5" t="s">
        <v>73</v>
      </c>
      <c r="F5" t="s">
        <v>233</v>
      </c>
      <c r="G5" t="str">
        <f>+VLOOKUP(C5,[1]Sheet1!$B:$C,2,0)</f>
        <v>M46</v>
      </c>
    </row>
    <row r="6" spans="1:9" x14ac:dyDescent="0.35">
      <c r="C6" t="s">
        <v>160</v>
      </c>
      <c r="D6" t="s">
        <v>214</v>
      </c>
      <c r="E6" t="s">
        <v>214</v>
      </c>
      <c r="F6" t="s">
        <v>221</v>
      </c>
      <c r="G6" t="e">
        <f>+VLOOKUP(C6,[1]Sheet1!$B:$C,2,0)</f>
        <v>#N/A</v>
      </c>
      <c r="I6" t="s">
        <v>746</v>
      </c>
    </row>
    <row r="7" spans="1:9" x14ac:dyDescent="0.35">
      <c r="C7" t="s">
        <v>224</v>
      </c>
      <c r="D7" t="s">
        <v>226</v>
      </c>
      <c r="E7" t="s">
        <v>214</v>
      </c>
      <c r="F7" t="s">
        <v>221</v>
      </c>
      <c r="G7" t="e">
        <f>+VLOOKUP(C7,[1]Sheet1!$B:$C,2,0)</f>
        <v>#N/A</v>
      </c>
      <c r="I7" t="s">
        <v>747</v>
      </c>
    </row>
    <row r="8" spans="1:9" x14ac:dyDescent="0.35">
      <c r="C8" t="s">
        <v>153</v>
      </c>
      <c r="D8" t="s">
        <v>214</v>
      </c>
      <c r="E8" t="s">
        <v>214</v>
      </c>
      <c r="F8" t="s">
        <v>221</v>
      </c>
      <c r="G8" t="e">
        <f>+VLOOKUP(C8,[1]Sheet1!$B:$C,2,0)</f>
        <v>#N/A</v>
      </c>
    </row>
    <row r="9" spans="1:9" x14ac:dyDescent="0.35">
      <c r="A9" t="s">
        <v>740</v>
      </c>
      <c r="B9" t="s">
        <v>568</v>
      </c>
      <c r="C9" t="s">
        <v>579</v>
      </c>
      <c r="D9" t="s">
        <v>73</v>
      </c>
      <c r="E9" t="s">
        <v>91</v>
      </c>
      <c r="F9" t="s">
        <v>151</v>
      </c>
      <c r="G9" t="e">
        <f>+VLOOKUP(C9,[1]Sheet1!$B:$C,2,0)</f>
        <v>#N/A</v>
      </c>
    </row>
    <row r="10" spans="1:9" x14ac:dyDescent="0.35">
      <c r="A10" t="s">
        <v>737</v>
      </c>
      <c r="B10" t="s">
        <v>240</v>
      </c>
      <c r="C10" t="s">
        <v>258</v>
      </c>
      <c r="D10" t="s">
        <v>256</v>
      </c>
      <c r="E10" t="s">
        <v>73</v>
      </c>
      <c r="F10" t="s">
        <v>253</v>
      </c>
      <c r="G10" t="str">
        <f>+VLOOKUP(C10,[1]Sheet1!$B:$C,2,0)</f>
        <v>M46</v>
      </c>
    </row>
    <row r="11" spans="1:9" x14ac:dyDescent="0.35">
      <c r="C11" t="s">
        <v>255</v>
      </c>
      <c r="D11" t="s">
        <v>256</v>
      </c>
      <c r="E11" t="s">
        <v>73</v>
      </c>
      <c r="F11" t="s">
        <v>253</v>
      </c>
      <c r="G11" t="str">
        <f>+VLOOKUP(C11,[1]Sheet1!$B:$C,2,0)</f>
        <v>M46</v>
      </c>
    </row>
    <row r="12" spans="1:9" x14ac:dyDescent="0.35">
      <c r="A12" t="s">
        <v>735</v>
      </c>
      <c r="B12" t="s">
        <v>58</v>
      </c>
      <c r="C12" t="s">
        <v>85</v>
      </c>
      <c r="D12" t="s">
        <v>88</v>
      </c>
      <c r="E12" t="s">
        <v>73</v>
      </c>
      <c r="F12" t="s">
        <v>83</v>
      </c>
      <c r="G12" t="str">
        <f>+VLOOKUP(C12,[1]Sheet1!$B:$C,2,0)</f>
        <v>M01</v>
      </c>
    </row>
    <row r="13" spans="1:9" x14ac:dyDescent="0.35">
      <c r="C13" t="s">
        <v>173</v>
      </c>
      <c r="D13" t="s">
        <v>176</v>
      </c>
      <c r="E13" t="s">
        <v>91</v>
      </c>
      <c r="F13" t="s">
        <v>171</v>
      </c>
      <c r="G13" t="str">
        <f>+VLOOKUP(C13,[1]Sheet1!$B:$C,2,0)</f>
        <v>M19</v>
      </c>
    </row>
    <row r="14" spans="1:9" x14ac:dyDescent="0.35">
      <c r="C14" t="s">
        <v>125</v>
      </c>
      <c r="D14" t="s">
        <v>111</v>
      </c>
      <c r="E14" t="s">
        <v>91</v>
      </c>
      <c r="F14" t="s">
        <v>123</v>
      </c>
      <c r="G14" t="str">
        <f>+VLOOKUP(C14,[1]Sheet1!$B:$C,2,0)</f>
        <v>M45</v>
      </c>
    </row>
    <row r="15" spans="1:9" x14ac:dyDescent="0.35">
      <c r="C15" t="s">
        <v>138</v>
      </c>
      <c r="D15" t="s">
        <v>141</v>
      </c>
      <c r="E15" t="s">
        <v>73</v>
      </c>
      <c r="F15" t="s">
        <v>136</v>
      </c>
      <c r="G15" t="str">
        <f>+VLOOKUP(C15,[1]Sheet1!$B:$C,2,0)</f>
        <v>M46</v>
      </c>
    </row>
    <row r="16" spans="1:9" x14ac:dyDescent="0.35">
      <c r="C16" t="s">
        <v>108</v>
      </c>
      <c r="D16" t="s">
        <v>111</v>
      </c>
      <c r="E16" t="s">
        <v>73</v>
      </c>
      <c r="F16" t="s">
        <v>106</v>
      </c>
      <c r="G16" t="str">
        <f>+VLOOKUP(C16,[1]Sheet1!$B:$C,2,0)</f>
        <v>M19</v>
      </c>
    </row>
    <row r="17" spans="1:7" x14ac:dyDescent="0.35">
      <c r="C17" t="s">
        <v>196</v>
      </c>
      <c r="D17" t="s">
        <v>91</v>
      </c>
      <c r="E17" t="s">
        <v>73</v>
      </c>
      <c r="F17" t="s">
        <v>195</v>
      </c>
      <c r="G17" t="e">
        <f>+VLOOKUP(C17,[1]Sheet1!$B:$C,2,0)</f>
        <v>#N/A</v>
      </c>
    </row>
    <row r="18" spans="1:7" x14ac:dyDescent="0.35">
      <c r="C18" t="s">
        <v>160</v>
      </c>
      <c r="D18" t="s">
        <v>69</v>
      </c>
      <c r="E18" t="s">
        <v>69</v>
      </c>
      <c r="F18" t="s">
        <v>151</v>
      </c>
      <c r="G18" t="e">
        <f>+VLOOKUP(C18,[1]Sheet1!$B:$C,2,0)</f>
        <v>#N/A</v>
      </c>
    </row>
    <row r="19" spans="1:7" x14ac:dyDescent="0.35">
      <c r="C19" t="s">
        <v>156</v>
      </c>
      <c r="D19" t="s">
        <v>158</v>
      </c>
      <c r="E19" t="s">
        <v>69</v>
      </c>
      <c r="F19" t="s">
        <v>151</v>
      </c>
      <c r="G19" t="e">
        <f>+VLOOKUP(C19,[1]Sheet1!$B:$C,2,0)</f>
        <v>#N/A</v>
      </c>
    </row>
    <row r="20" spans="1:7" x14ac:dyDescent="0.35">
      <c r="C20" t="s">
        <v>153</v>
      </c>
      <c r="D20" t="s">
        <v>69</v>
      </c>
      <c r="E20" t="s">
        <v>69</v>
      </c>
      <c r="F20" t="s">
        <v>151</v>
      </c>
      <c r="G20" t="e">
        <f>+VLOOKUP(C20,[1]Sheet1!$B:$C,2,0)</f>
        <v>#N/A</v>
      </c>
    </row>
    <row r="21" spans="1:7" x14ac:dyDescent="0.35">
      <c r="A21" t="s">
        <v>738</v>
      </c>
      <c r="B21" t="s">
        <v>260</v>
      </c>
      <c r="C21" t="s">
        <v>348</v>
      </c>
      <c r="D21" t="s">
        <v>351</v>
      </c>
      <c r="E21" t="s">
        <v>88</v>
      </c>
      <c r="F21" t="s">
        <v>346</v>
      </c>
      <c r="G21" t="e">
        <f>+VLOOKUP(C21,[1]Sheet1!$B:$C,2,0)</f>
        <v>#N/A</v>
      </c>
    </row>
    <row r="22" spans="1:7" x14ac:dyDescent="0.35">
      <c r="C22" t="s">
        <v>353</v>
      </c>
      <c r="D22" t="s">
        <v>351</v>
      </c>
      <c r="E22" t="s">
        <v>88</v>
      </c>
      <c r="F22" t="s">
        <v>346</v>
      </c>
      <c r="G22" t="e">
        <f>+VLOOKUP(C22,[1]Sheet1!$B:$C,2,0)</f>
        <v>#N/A</v>
      </c>
    </row>
    <row r="23" spans="1:7" x14ac:dyDescent="0.35">
      <c r="C23" t="s">
        <v>354</v>
      </c>
      <c r="D23" t="s">
        <v>355</v>
      </c>
      <c r="E23" t="s">
        <v>88</v>
      </c>
      <c r="F23" t="s">
        <v>346</v>
      </c>
      <c r="G23" t="e">
        <f>+VLOOKUP(C23,[1]Sheet1!$B:$C,2,0)</f>
        <v>#N/A</v>
      </c>
    </row>
    <row r="24" spans="1:7" x14ac:dyDescent="0.35">
      <c r="C24" t="s">
        <v>331</v>
      </c>
      <c r="D24" t="s">
        <v>329</v>
      </c>
      <c r="E24" t="s">
        <v>91</v>
      </c>
      <c r="F24" t="s">
        <v>329</v>
      </c>
      <c r="G24" t="str">
        <f>+VLOOKUP(C24,[1]Sheet1!$B:$C,2,0)</f>
        <v>MCS</v>
      </c>
    </row>
    <row r="25" spans="1:7" x14ac:dyDescent="0.35">
      <c r="C25" t="s">
        <v>323</v>
      </c>
      <c r="D25" t="s">
        <v>321</v>
      </c>
      <c r="E25" t="s">
        <v>91</v>
      </c>
      <c r="F25" t="s">
        <v>321</v>
      </c>
      <c r="G25" t="str">
        <f>+VLOOKUP(C25,[1]Sheet1!$B:$C,2,0)</f>
        <v>M46</v>
      </c>
    </row>
    <row r="26" spans="1:7" x14ac:dyDescent="0.35">
      <c r="C26" t="s">
        <v>85</v>
      </c>
      <c r="D26" t="s">
        <v>143</v>
      </c>
      <c r="E26" t="s">
        <v>73</v>
      </c>
      <c r="F26" t="s">
        <v>278</v>
      </c>
      <c r="G26" t="str">
        <f>+VLOOKUP(C26,[1]Sheet1!$B:$C,2,0)</f>
        <v>M01</v>
      </c>
    </row>
    <row r="27" spans="1:7" x14ac:dyDescent="0.35">
      <c r="C27" t="s">
        <v>272</v>
      </c>
      <c r="D27" t="s">
        <v>143</v>
      </c>
      <c r="E27" t="s">
        <v>73</v>
      </c>
      <c r="F27" t="s">
        <v>214</v>
      </c>
      <c r="G27" t="str">
        <f>+VLOOKUP(C27,[1]Sheet1!$B:$C,2,0)</f>
        <v>M23</v>
      </c>
    </row>
    <row r="28" spans="1:7" x14ac:dyDescent="0.35">
      <c r="C28" t="s">
        <v>296</v>
      </c>
      <c r="D28" t="s">
        <v>294</v>
      </c>
      <c r="E28" t="s">
        <v>73</v>
      </c>
      <c r="F28" t="s">
        <v>294</v>
      </c>
      <c r="G28" t="str">
        <f>+VLOOKUP(C28,[1]Sheet1!$B:$C,2,0)</f>
        <v>M19</v>
      </c>
    </row>
    <row r="29" spans="1:7" x14ac:dyDescent="0.35">
      <c r="C29" t="s">
        <v>283</v>
      </c>
      <c r="D29" t="s">
        <v>73</v>
      </c>
      <c r="E29" t="s">
        <v>73</v>
      </c>
      <c r="F29" t="s">
        <v>214</v>
      </c>
      <c r="G29" t="str">
        <f>+VLOOKUP(C29,[1]Sheet1!$B:$C,2,0)</f>
        <v>M45</v>
      </c>
    </row>
    <row r="30" spans="1:7" x14ac:dyDescent="0.35">
      <c r="C30" t="s">
        <v>173</v>
      </c>
      <c r="D30" t="s">
        <v>176</v>
      </c>
      <c r="E30" t="s">
        <v>91</v>
      </c>
      <c r="F30" t="s">
        <v>171</v>
      </c>
      <c r="G30" t="str">
        <f>+VLOOKUP(C30,[1]Sheet1!$B:$C,2,0)</f>
        <v>M19</v>
      </c>
    </row>
    <row r="31" spans="1:7" x14ac:dyDescent="0.35">
      <c r="C31" t="s">
        <v>378</v>
      </c>
      <c r="D31" t="s">
        <v>141</v>
      </c>
      <c r="E31" t="s">
        <v>73</v>
      </c>
      <c r="F31" t="s">
        <v>376</v>
      </c>
      <c r="G31" t="str">
        <f>+VLOOKUP(C31,[1]Sheet1!$B:$C,2,0)</f>
        <v>M46</v>
      </c>
    </row>
    <row r="32" spans="1:7" x14ac:dyDescent="0.35">
      <c r="C32" t="s">
        <v>367</v>
      </c>
      <c r="D32" t="s">
        <v>355</v>
      </c>
      <c r="E32" t="s">
        <v>73</v>
      </c>
      <c r="F32" t="s">
        <v>365</v>
      </c>
      <c r="G32" t="str">
        <f>+VLOOKUP(C32,[1]Sheet1!$B:$C,2,0)</f>
        <v>M19</v>
      </c>
    </row>
    <row r="33" spans="1:8" x14ac:dyDescent="0.35">
      <c r="C33" t="s">
        <v>235</v>
      </c>
      <c r="D33" t="s">
        <v>238</v>
      </c>
      <c r="E33" t="s">
        <v>73</v>
      </c>
      <c r="F33" t="s">
        <v>396</v>
      </c>
      <c r="G33" t="str">
        <f>+VLOOKUP(C33,[1]Sheet1!$B:$C,2,0)</f>
        <v>M46</v>
      </c>
    </row>
    <row r="34" spans="1:8" x14ac:dyDescent="0.35">
      <c r="C34" s="9" t="s">
        <v>425</v>
      </c>
      <c r="D34" s="9" t="s">
        <v>73</v>
      </c>
      <c r="E34" s="9" t="s">
        <v>73</v>
      </c>
      <c r="F34" s="9" t="s">
        <v>407</v>
      </c>
      <c r="G34" s="9" t="e">
        <f>+VLOOKUP(C34,[1]Sheet1!$B:$C,2,0)</f>
        <v>#N/A</v>
      </c>
      <c r="H34" s="9"/>
    </row>
    <row r="35" spans="1:8" x14ac:dyDescent="0.35">
      <c r="C35" s="9" t="s">
        <v>444</v>
      </c>
      <c r="D35" s="9" t="s">
        <v>446</v>
      </c>
      <c r="E35" s="9" t="s">
        <v>73</v>
      </c>
      <c r="F35" s="9" t="s">
        <v>73</v>
      </c>
      <c r="G35" s="9" t="e">
        <f>+VLOOKUP(C35,[1]Sheet1!$B:$C,2,0)</f>
        <v>#N/A</v>
      </c>
    </row>
    <row r="36" spans="1:8" x14ac:dyDescent="0.35">
      <c r="C36" s="9" t="s">
        <v>433</v>
      </c>
      <c r="D36" s="9" t="s">
        <v>73</v>
      </c>
      <c r="E36" s="9" t="s">
        <v>73</v>
      </c>
      <c r="F36" s="9" t="s">
        <v>407</v>
      </c>
      <c r="G36" s="9" t="e">
        <f>+VLOOKUP(C36,[1]Sheet1!$B:$C,2,0)</f>
        <v>#N/A</v>
      </c>
    </row>
    <row r="37" spans="1:8" x14ac:dyDescent="0.35">
      <c r="C37" t="s">
        <v>160</v>
      </c>
      <c r="D37" t="s">
        <v>381</v>
      </c>
      <c r="E37" t="s">
        <v>381</v>
      </c>
      <c r="F37" t="s">
        <v>387</v>
      </c>
      <c r="G37" t="e">
        <f>+VLOOKUP(C37,[1]Sheet1!$B:$C,2,0)</f>
        <v>#N/A</v>
      </c>
    </row>
    <row r="38" spans="1:8" x14ac:dyDescent="0.35">
      <c r="C38" t="s">
        <v>224</v>
      </c>
      <c r="D38" t="s">
        <v>390</v>
      </c>
      <c r="E38" t="s">
        <v>381</v>
      </c>
      <c r="F38" t="s">
        <v>387</v>
      </c>
      <c r="G38" t="e">
        <f>+VLOOKUP(C38,[1]Sheet1!$B:$C,2,0)</f>
        <v>#N/A</v>
      </c>
    </row>
    <row r="39" spans="1:8" x14ac:dyDescent="0.35">
      <c r="C39" s="9" t="s">
        <v>417</v>
      </c>
      <c r="D39" s="9" t="s">
        <v>285</v>
      </c>
      <c r="E39" s="9" t="s">
        <v>73</v>
      </c>
      <c r="F39" s="9" t="s">
        <v>407</v>
      </c>
      <c r="G39" s="9" t="e">
        <f>+VLOOKUP(C39,[1]Sheet1!$B:$C,2,0)</f>
        <v>#N/A</v>
      </c>
    </row>
    <row r="40" spans="1:8" x14ac:dyDescent="0.35">
      <c r="C40" s="9" t="s">
        <v>408</v>
      </c>
      <c r="D40" s="9" t="s">
        <v>73</v>
      </c>
      <c r="E40" s="9" t="s">
        <v>73</v>
      </c>
      <c r="F40" s="9" t="s">
        <v>407</v>
      </c>
      <c r="G40" s="9" t="e">
        <f>+VLOOKUP(C40,[1]Sheet1!$B:$C,2,0)</f>
        <v>#N/A</v>
      </c>
    </row>
    <row r="41" spans="1:8" x14ac:dyDescent="0.35">
      <c r="C41" t="s">
        <v>310</v>
      </c>
      <c r="D41" t="s">
        <v>162</v>
      </c>
      <c r="E41" t="s">
        <v>73</v>
      </c>
      <c r="F41" t="s">
        <v>308</v>
      </c>
      <c r="G41" t="str">
        <f>+VLOOKUP(C41,[1]Sheet1!$B:$C,2,0)</f>
        <v>M45</v>
      </c>
    </row>
    <row r="42" spans="1:8" x14ac:dyDescent="0.35">
      <c r="C42" t="s">
        <v>153</v>
      </c>
      <c r="D42" t="s">
        <v>381</v>
      </c>
      <c r="E42" t="s">
        <v>381</v>
      </c>
      <c r="F42" t="s">
        <v>387</v>
      </c>
      <c r="G42" t="e">
        <f>+VLOOKUP(C42,[1]Sheet1!$B:$C,2,0)</f>
        <v>#N/A</v>
      </c>
    </row>
    <row r="43" spans="1:8" x14ac:dyDescent="0.35">
      <c r="A43" s="10" t="s">
        <v>739</v>
      </c>
      <c r="B43" s="10" t="s">
        <v>448</v>
      </c>
      <c r="C43" s="10" t="s">
        <v>331</v>
      </c>
      <c r="D43" s="10" t="s">
        <v>329</v>
      </c>
      <c r="E43" s="10" t="s">
        <v>88</v>
      </c>
      <c r="F43" s="10" t="s">
        <v>329</v>
      </c>
      <c r="G43" s="10" t="str">
        <f>+VLOOKUP(C43,[1]Sheet1!$B:$C,2,0)</f>
        <v>MCS</v>
      </c>
    </row>
    <row r="44" spans="1:8" x14ac:dyDescent="0.35">
      <c r="A44" s="10"/>
      <c r="B44" s="10"/>
      <c r="C44" s="10" t="s">
        <v>496</v>
      </c>
      <c r="D44" s="10" t="s">
        <v>73</v>
      </c>
      <c r="E44" s="10" t="s">
        <v>453</v>
      </c>
      <c r="F44" s="10" t="s">
        <v>462</v>
      </c>
      <c r="G44" s="10" t="e">
        <f>+VLOOKUP(C44,[1]Sheet1!$B:$C,2,0)</f>
        <v>#N/A</v>
      </c>
    </row>
    <row r="45" spans="1:8" x14ac:dyDescent="0.35">
      <c r="A45" s="10"/>
      <c r="B45" s="10"/>
      <c r="C45" s="10"/>
      <c r="D45" s="10" t="s">
        <v>97</v>
      </c>
      <c r="E45" s="10" t="s">
        <v>453</v>
      </c>
      <c r="F45" s="10" t="s">
        <v>462</v>
      </c>
      <c r="G45" s="10" t="e">
        <f>+VLOOKUP(C45,[1]Sheet1!$B:$C,2,0)</f>
        <v>#N/A</v>
      </c>
    </row>
    <row r="46" spans="1:8" x14ac:dyDescent="0.35">
      <c r="A46" s="10"/>
      <c r="B46" s="10"/>
      <c r="C46" s="10" t="s">
        <v>528</v>
      </c>
      <c r="D46" s="10" t="s">
        <v>73</v>
      </c>
      <c r="E46" s="10" t="s">
        <v>453</v>
      </c>
      <c r="F46" s="10" t="s">
        <v>462</v>
      </c>
      <c r="G46" s="10" t="e">
        <f>+VLOOKUP(C46,[1]Sheet1!$B:$C,2,0)</f>
        <v>#N/A</v>
      </c>
    </row>
    <row r="47" spans="1:8" x14ac:dyDescent="0.35">
      <c r="A47" s="10"/>
      <c r="B47" s="10"/>
      <c r="C47" s="10"/>
      <c r="D47" s="10" t="s">
        <v>113</v>
      </c>
      <c r="E47" s="10" t="s">
        <v>453</v>
      </c>
      <c r="F47" s="10" t="s">
        <v>462</v>
      </c>
      <c r="G47" s="10" t="e">
        <f>+VLOOKUP(C47,[1]Sheet1!$B:$C,2,0)</f>
        <v>#N/A</v>
      </c>
    </row>
    <row r="48" spans="1:8" x14ac:dyDescent="0.35">
      <c r="A48" s="10"/>
      <c r="B48" s="10"/>
      <c r="C48" s="10" t="s">
        <v>488</v>
      </c>
      <c r="D48" s="10" t="s">
        <v>73</v>
      </c>
      <c r="E48" s="10" t="s">
        <v>453</v>
      </c>
      <c r="F48" s="10" t="s">
        <v>462</v>
      </c>
      <c r="G48" s="10" t="e">
        <f>+VLOOKUP(C48,[1]Sheet1!$B:$C,2,0)</f>
        <v>#N/A</v>
      </c>
    </row>
    <row r="49" spans="1:7" x14ac:dyDescent="0.35">
      <c r="A49" s="10"/>
      <c r="B49" s="10"/>
      <c r="C49" s="10"/>
      <c r="D49" s="10" t="s">
        <v>88</v>
      </c>
      <c r="E49" s="10" t="s">
        <v>453</v>
      </c>
      <c r="F49" s="10" t="s">
        <v>462</v>
      </c>
      <c r="G49" s="10" t="e">
        <f>+VLOOKUP(C49,[1]Sheet1!$B:$C,2,0)</f>
        <v>#N/A</v>
      </c>
    </row>
    <row r="50" spans="1:7" x14ac:dyDescent="0.35">
      <c r="A50" s="10"/>
      <c r="B50" s="10"/>
      <c r="C50" s="10" t="s">
        <v>484</v>
      </c>
      <c r="D50" s="10" t="s">
        <v>73</v>
      </c>
      <c r="E50" s="10" t="s">
        <v>453</v>
      </c>
      <c r="F50" s="10" t="s">
        <v>462</v>
      </c>
      <c r="G50" s="10" t="e">
        <f>+VLOOKUP(C50,[1]Sheet1!$B:$C,2,0)</f>
        <v>#N/A</v>
      </c>
    </row>
    <row r="51" spans="1:7" x14ac:dyDescent="0.35">
      <c r="A51" s="10"/>
      <c r="B51" s="10"/>
      <c r="C51" s="10"/>
      <c r="D51" s="10" t="s">
        <v>91</v>
      </c>
      <c r="E51" s="10" t="s">
        <v>453</v>
      </c>
      <c r="F51" s="10" t="s">
        <v>462</v>
      </c>
      <c r="G51" s="10" t="e">
        <f>+VLOOKUP(C51,[1]Sheet1!$B:$C,2,0)</f>
        <v>#N/A</v>
      </c>
    </row>
    <row r="52" spans="1:7" x14ac:dyDescent="0.35">
      <c r="A52" s="10"/>
      <c r="B52" s="10"/>
      <c r="C52" s="10"/>
      <c r="D52" s="10" t="s">
        <v>88</v>
      </c>
      <c r="E52" s="10" t="s">
        <v>453</v>
      </c>
      <c r="F52" s="10" t="s">
        <v>462</v>
      </c>
      <c r="G52" s="10" t="e">
        <f>+VLOOKUP(C52,[1]Sheet1!$B:$C,2,0)</f>
        <v>#N/A</v>
      </c>
    </row>
    <row r="53" spans="1:7" x14ac:dyDescent="0.35">
      <c r="A53" s="10"/>
      <c r="B53" s="10"/>
      <c r="C53" s="10"/>
      <c r="D53" s="10" t="s">
        <v>162</v>
      </c>
      <c r="E53" s="10" t="s">
        <v>453</v>
      </c>
      <c r="F53" s="10" t="s">
        <v>462</v>
      </c>
      <c r="G53" s="10" t="e">
        <f>+VLOOKUP(C53,[1]Sheet1!$B:$C,2,0)</f>
        <v>#N/A</v>
      </c>
    </row>
    <row r="54" spans="1:7" x14ac:dyDescent="0.35">
      <c r="A54" s="10"/>
      <c r="B54" s="10"/>
      <c r="C54" s="10"/>
      <c r="D54" s="10" t="s">
        <v>113</v>
      </c>
      <c r="E54" s="10" t="s">
        <v>453</v>
      </c>
      <c r="F54" s="10" t="s">
        <v>462</v>
      </c>
      <c r="G54" s="10" t="e">
        <f>+VLOOKUP(C54,[1]Sheet1!$B:$C,2,0)</f>
        <v>#N/A</v>
      </c>
    </row>
    <row r="55" spans="1:7" x14ac:dyDescent="0.35">
      <c r="A55" s="10"/>
      <c r="B55" s="10"/>
      <c r="C55" s="10" t="s">
        <v>490</v>
      </c>
      <c r="D55" s="10" t="s">
        <v>73</v>
      </c>
      <c r="E55" s="10" t="s">
        <v>453</v>
      </c>
      <c r="F55" s="10" t="s">
        <v>462</v>
      </c>
      <c r="G55" s="10" t="e">
        <f>+VLOOKUP(C55,[1]Sheet1!$B:$C,2,0)</f>
        <v>#N/A</v>
      </c>
    </row>
    <row r="56" spans="1:7" x14ac:dyDescent="0.35">
      <c r="A56" s="10"/>
      <c r="B56" s="10"/>
      <c r="C56" s="10"/>
      <c r="D56" s="10" t="s">
        <v>91</v>
      </c>
      <c r="E56" s="10" t="s">
        <v>453</v>
      </c>
      <c r="F56" s="10" t="s">
        <v>462</v>
      </c>
      <c r="G56" s="10" t="e">
        <f>+VLOOKUP(C56,[1]Sheet1!$B:$C,2,0)</f>
        <v>#N/A</v>
      </c>
    </row>
    <row r="57" spans="1:7" x14ac:dyDescent="0.35">
      <c r="A57" s="10"/>
      <c r="B57" s="10"/>
      <c r="C57" s="10"/>
      <c r="D57" s="10" t="s">
        <v>143</v>
      </c>
      <c r="E57" s="10" t="s">
        <v>453</v>
      </c>
      <c r="F57" s="10" t="s">
        <v>462</v>
      </c>
      <c r="G57" s="10" t="e">
        <f>+VLOOKUP(C57,[1]Sheet1!$B:$C,2,0)</f>
        <v>#N/A</v>
      </c>
    </row>
    <row r="58" spans="1:7" x14ac:dyDescent="0.35">
      <c r="A58" s="10"/>
      <c r="B58" s="10"/>
      <c r="C58" s="10" t="s">
        <v>511</v>
      </c>
      <c r="D58" s="10" t="s">
        <v>73</v>
      </c>
      <c r="E58" s="10" t="s">
        <v>453</v>
      </c>
      <c r="F58" s="10" t="s">
        <v>462</v>
      </c>
      <c r="G58" s="10" t="e">
        <f>+VLOOKUP(C58,[1]Sheet1!$B:$C,2,0)</f>
        <v>#N/A</v>
      </c>
    </row>
    <row r="59" spans="1:7" x14ac:dyDescent="0.35">
      <c r="A59" s="10"/>
      <c r="B59" s="10"/>
      <c r="C59" s="10" t="s">
        <v>480</v>
      </c>
      <c r="D59" s="10" t="s">
        <v>73</v>
      </c>
      <c r="E59" s="10" t="s">
        <v>453</v>
      </c>
      <c r="F59" s="10" t="s">
        <v>462</v>
      </c>
      <c r="G59" s="10" t="e">
        <f>+VLOOKUP(C59,[1]Sheet1!$B:$C,2,0)</f>
        <v>#N/A</v>
      </c>
    </row>
    <row r="60" spans="1:7" x14ac:dyDescent="0.35">
      <c r="A60" s="10"/>
      <c r="B60" s="10"/>
      <c r="C60" s="10"/>
      <c r="D60" s="10" t="s">
        <v>97</v>
      </c>
      <c r="E60" s="10" t="s">
        <v>453</v>
      </c>
      <c r="F60" s="10" t="s">
        <v>462</v>
      </c>
      <c r="G60" s="10" t="e">
        <f>+VLOOKUP(C60,[1]Sheet1!$B:$C,2,0)</f>
        <v>#N/A</v>
      </c>
    </row>
    <row r="61" spans="1:7" x14ac:dyDescent="0.35">
      <c r="A61" s="10"/>
      <c r="B61" s="10"/>
      <c r="C61" s="10" t="s">
        <v>549</v>
      </c>
      <c r="D61" s="10" t="s">
        <v>162</v>
      </c>
      <c r="E61" s="10" t="s">
        <v>453</v>
      </c>
      <c r="F61" s="10" t="s">
        <v>462</v>
      </c>
      <c r="G61" s="10" t="e">
        <f>+VLOOKUP(C61,[1]Sheet1!$B:$C,2,0)</f>
        <v>#N/A</v>
      </c>
    </row>
    <row r="62" spans="1:7" x14ac:dyDescent="0.35">
      <c r="A62" s="10"/>
      <c r="B62" s="10"/>
      <c r="C62" s="10" t="s">
        <v>516</v>
      </c>
      <c r="D62" s="10" t="s">
        <v>73</v>
      </c>
      <c r="E62" s="10" t="s">
        <v>453</v>
      </c>
      <c r="F62" s="10" t="s">
        <v>462</v>
      </c>
      <c r="G62" s="10" t="e">
        <f>+VLOOKUP(C62,[1]Sheet1!$B:$C,2,0)</f>
        <v>#N/A</v>
      </c>
    </row>
    <row r="63" spans="1:7" x14ac:dyDescent="0.35">
      <c r="A63" s="10"/>
      <c r="B63" s="10"/>
      <c r="C63" s="10"/>
      <c r="D63" s="10" t="s">
        <v>91</v>
      </c>
      <c r="E63" s="10" t="s">
        <v>453</v>
      </c>
      <c r="F63" s="10" t="s">
        <v>462</v>
      </c>
      <c r="G63" s="10" t="e">
        <f>+VLOOKUP(C63,[1]Sheet1!$B:$C,2,0)</f>
        <v>#N/A</v>
      </c>
    </row>
    <row r="64" spans="1:7" x14ac:dyDescent="0.35">
      <c r="A64" s="10"/>
      <c r="B64" s="10"/>
      <c r="C64" s="10"/>
      <c r="D64" s="10" t="s">
        <v>88</v>
      </c>
      <c r="E64" s="10" t="s">
        <v>453</v>
      </c>
      <c r="F64" s="10" t="s">
        <v>462</v>
      </c>
      <c r="G64" s="10" t="e">
        <f>+VLOOKUP(C64,[1]Sheet1!$B:$C,2,0)</f>
        <v>#N/A</v>
      </c>
    </row>
    <row r="65" spans="1:7" x14ac:dyDescent="0.35">
      <c r="A65" s="10"/>
      <c r="B65" s="10"/>
      <c r="C65" s="10"/>
      <c r="D65" s="10" t="s">
        <v>143</v>
      </c>
      <c r="E65" s="10" t="s">
        <v>453</v>
      </c>
      <c r="F65" s="10" t="s">
        <v>462</v>
      </c>
      <c r="G65" s="10" t="e">
        <f>+VLOOKUP(C65,[1]Sheet1!$B:$C,2,0)</f>
        <v>#N/A</v>
      </c>
    </row>
    <row r="66" spans="1:7" x14ac:dyDescent="0.35">
      <c r="A66" s="10"/>
      <c r="B66" s="10"/>
      <c r="C66" s="10"/>
      <c r="D66" s="10" t="s">
        <v>69</v>
      </c>
      <c r="E66" s="10" t="s">
        <v>453</v>
      </c>
      <c r="F66" s="10" t="s">
        <v>462</v>
      </c>
      <c r="G66" s="10" t="e">
        <f>+VLOOKUP(C66,[1]Sheet1!$B:$C,2,0)</f>
        <v>#N/A</v>
      </c>
    </row>
    <row r="67" spans="1:7" x14ac:dyDescent="0.35">
      <c r="A67" s="10"/>
      <c r="B67" s="10"/>
      <c r="C67" s="10"/>
      <c r="D67" s="10" t="s">
        <v>162</v>
      </c>
      <c r="E67" s="10" t="s">
        <v>453</v>
      </c>
      <c r="F67" s="10" t="s">
        <v>462</v>
      </c>
      <c r="G67" s="10" t="e">
        <f>+VLOOKUP(C67,[1]Sheet1!$B:$C,2,0)</f>
        <v>#N/A</v>
      </c>
    </row>
    <row r="68" spans="1:7" x14ac:dyDescent="0.35">
      <c r="A68" s="10"/>
      <c r="B68" s="10"/>
      <c r="C68" s="10" t="s">
        <v>554</v>
      </c>
      <c r="D68" s="10" t="s">
        <v>73</v>
      </c>
      <c r="E68" s="10" t="s">
        <v>453</v>
      </c>
      <c r="F68" s="10" t="s">
        <v>462</v>
      </c>
      <c r="G68" s="10" t="e">
        <f>+VLOOKUP(C68,[1]Sheet1!$B:$C,2,0)</f>
        <v>#N/A</v>
      </c>
    </row>
    <row r="69" spans="1:7" x14ac:dyDescent="0.35">
      <c r="A69" s="10"/>
      <c r="B69" s="10"/>
      <c r="C69" s="10"/>
      <c r="D69" s="10" t="s">
        <v>285</v>
      </c>
      <c r="E69" s="10" t="s">
        <v>453</v>
      </c>
      <c r="F69" s="10" t="s">
        <v>462</v>
      </c>
      <c r="G69" s="10" t="e">
        <f>+VLOOKUP(C69,[1]Sheet1!$B:$C,2,0)</f>
        <v>#N/A</v>
      </c>
    </row>
    <row r="70" spans="1:7" x14ac:dyDescent="0.35">
      <c r="A70" s="10"/>
      <c r="B70" s="10"/>
      <c r="C70" s="10" t="s">
        <v>468</v>
      </c>
      <c r="D70" s="10" t="s">
        <v>73</v>
      </c>
      <c r="E70" s="10" t="s">
        <v>453</v>
      </c>
      <c r="F70" s="10" t="s">
        <v>462</v>
      </c>
      <c r="G70" s="10" t="e">
        <f>+VLOOKUP(C70,[1]Sheet1!$B:$C,2,0)</f>
        <v>#N/A</v>
      </c>
    </row>
    <row r="71" spans="1:7" x14ac:dyDescent="0.35">
      <c r="A71" s="10"/>
      <c r="B71" s="10"/>
      <c r="C71" s="10"/>
      <c r="D71" s="10" t="s">
        <v>113</v>
      </c>
      <c r="E71" s="10" t="s">
        <v>453</v>
      </c>
      <c r="F71" s="10" t="s">
        <v>462</v>
      </c>
      <c r="G71" s="10" t="e">
        <f>+VLOOKUP(C71,[1]Sheet1!$B:$C,2,0)</f>
        <v>#N/A</v>
      </c>
    </row>
    <row r="72" spans="1:7" x14ac:dyDescent="0.35">
      <c r="A72" s="10"/>
      <c r="B72" s="10"/>
      <c r="C72" s="10" t="s">
        <v>541</v>
      </c>
      <c r="D72" s="10" t="s">
        <v>73</v>
      </c>
      <c r="E72" s="10" t="s">
        <v>453</v>
      </c>
      <c r="F72" s="10" t="s">
        <v>462</v>
      </c>
      <c r="G72" s="10" t="e">
        <f>+VLOOKUP(C72,[1]Sheet1!$B:$C,2,0)</f>
        <v>#N/A</v>
      </c>
    </row>
    <row r="73" spans="1:7" x14ac:dyDescent="0.35">
      <c r="A73" s="10"/>
      <c r="B73" s="10"/>
      <c r="C73" s="10" t="s">
        <v>501</v>
      </c>
      <c r="D73" s="10" t="s">
        <v>73</v>
      </c>
      <c r="E73" s="10" t="s">
        <v>453</v>
      </c>
      <c r="F73" s="10" t="s">
        <v>462</v>
      </c>
      <c r="G73" s="10" t="e">
        <f>+VLOOKUP(C73,[1]Sheet1!$B:$C,2,0)</f>
        <v>#N/A</v>
      </c>
    </row>
    <row r="74" spans="1:7" x14ac:dyDescent="0.35">
      <c r="A74" s="10"/>
      <c r="B74" s="10"/>
      <c r="C74" s="10"/>
      <c r="D74" s="10" t="s">
        <v>91</v>
      </c>
      <c r="E74" s="10" t="s">
        <v>453</v>
      </c>
      <c r="F74" s="10" t="s">
        <v>462</v>
      </c>
      <c r="G74" s="10" t="e">
        <f>+VLOOKUP(C74,[1]Sheet1!$B:$C,2,0)</f>
        <v>#N/A</v>
      </c>
    </row>
    <row r="75" spans="1:7" x14ac:dyDescent="0.35">
      <c r="A75" s="10"/>
      <c r="B75" s="10"/>
      <c r="C75" s="10"/>
      <c r="D75" s="10" t="s">
        <v>178</v>
      </c>
      <c r="E75" s="10" t="s">
        <v>453</v>
      </c>
      <c r="F75" s="10" t="s">
        <v>462</v>
      </c>
      <c r="G75" s="10" t="e">
        <f>+VLOOKUP(C75,[1]Sheet1!$B:$C,2,0)</f>
        <v>#N/A</v>
      </c>
    </row>
    <row r="76" spans="1:7" x14ac:dyDescent="0.35">
      <c r="A76" s="10"/>
      <c r="B76" s="10"/>
      <c r="C76" s="10" t="s">
        <v>476</v>
      </c>
      <c r="D76" s="10" t="s">
        <v>73</v>
      </c>
      <c r="E76" s="10" t="s">
        <v>453</v>
      </c>
      <c r="F76" s="10" t="s">
        <v>462</v>
      </c>
      <c r="G76" s="10" t="e">
        <f>+VLOOKUP(C76,[1]Sheet1!$B:$C,2,0)</f>
        <v>#N/A</v>
      </c>
    </row>
    <row r="77" spans="1:7" x14ac:dyDescent="0.35">
      <c r="A77" s="10"/>
      <c r="B77" s="10"/>
      <c r="C77" s="10" t="s">
        <v>464</v>
      </c>
      <c r="D77" s="10" t="s">
        <v>73</v>
      </c>
      <c r="E77" s="10" t="s">
        <v>453</v>
      </c>
      <c r="F77" s="10" t="s">
        <v>462</v>
      </c>
      <c r="G77" s="10" t="e">
        <f>+VLOOKUP(C77,[1]Sheet1!$B:$C,2,0)</f>
        <v>#N/A</v>
      </c>
    </row>
    <row r="78" spans="1:7" x14ac:dyDescent="0.35">
      <c r="A78" s="10"/>
      <c r="B78" s="10"/>
      <c r="C78" s="10"/>
      <c r="D78" s="10" t="s">
        <v>69</v>
      </c>
      <c r="E78" s="10" t="s">
        <v>453</v>
      </c>
      <c r="F78" s="10" t="s">
        <v>462</v>
      </c>
      <c r="G78" s="10" t="e">
        <f>+VLOOKUP(C78,[1]Sheet1!$B:$C,2,0)</f>
        <v>#N/A</v>
      </c>
    </row>
    <row r="79" spans="1:7" x14ac:dyDescent="0.35">
      <c r="A79" s="10"/>
      <c r="B79" s="10"/>
      <c r="C79" s="10" t="s">
        <v>472</v>
      </c>
      <c r="D79" s="10" t="s">
        <v>73</v>
      </c>
      <c r="E79" s="10" t="s">
        <v>453</v>
      </c>
      <c r="F79" s="10" t="s">
        <v>462</v>
      </c>
      <c r="G79" s="10" t="e">
        <f>+VLOOKUP(C79,[1]Sheet1!$B:$C,2,0)</f>
        <v>#N/A</v>
      </c>
    </row>
    <row r="80" spans="1:7" x14ac:dyDescent="0.35">
      <c r="A80" s="10"/>
      <c r="B80" s="10"/>
      <c r="C80" s="10"/>
      <c r="D80" s="10" t="s">
        <v>143</v>
      </c>
      <c r="E80" s="10" t="s">
        <v>453</v>
      </c>
      <c r="F80" s="10" t="s">
        <v>462</v>
      </c>
      <c r="G80" s="10" t="e">
        <f>+VLOOKUP(C80,[1]Sheet1!$B:$C,2,0)</f>
        <v>#N/A</v>
      </c>
    </row>
    <row r="81" spans="1:7" x14ac:dyDescent="0.35">
      <c r="A81" s="10"/>
      <c r="B81" s="10"/>
      <c r="C81" s="10" t="s">
        <v>507</v>
      </c>
      <c r="D81" s="10" t="s">
        <v>73</v>
      </c>
      <c r="E81" s="10" t="s">
        <v>453</v>
      </c>
      <c r="F81" s="10" t="s">
        <v>462</v>
      </c>
      <c r="G81" s="10" t="e">
        <f>+VLOOKUP(C81,[1]Sheet1!$B:$C,2,0)</f>
        <v>#N/A</v>
      </c>
    </row>
    <row r="82" spans="1:7" x14ac:dyDescent="0.35">
      <c r="D82" t="s">
        <v>143</v>
      </c>
      <c r="E82" t="s">
        <v>453</v>
      </c>
      <c r="F82" t="s">
        <v>462</v>
      </c>
      <c r="G82" t="e">
        <f>+VLOOKUP(C82,[1]Sheet1!$B:$C,2,0)</f>
        <v>#N/A</v>
      </c>
    </row>
    <row r="83" spans="1:7" x14ac:dyDescent="0.35">
      <c r="A83" t="s">
        <v>741</v>
      </c>
      <c r="B83" t="s">
        <v>583</v>
      </c>
      <c r="C83" t="s">
        <v>597</v>
      </c>
      <c r="D83" t="s">
        <v>69</v>
      </c>
      <c r="E83" t="s">
        <v>73</v>
      </c>
      <c r="F83" t="s">
        <v>537</v>
      </c>
      <c r="G83" t="str">
        <f>+VLOOKUP(C83,[1]Sheet1!$B:$C,2,0)</f>
        <v>M01</v>
      </c>
    </row>
    <row r="84" spans="1:7" x14ac:dyDescent="0.35">
      <c r="A84" t="s">
        <v>742</v>
      </c>
      <c r="B84" t="s">
        <v>601</v>
      </c>
      <c r="C84" t="s">
        <v>85</v>
      </c>
      <c r="D84" t="s">
        <v>88</v>
      </c>
      <c r="E84" t="s">
        <v>73</v>
      </c>
      <c r="F84" t="s">
        <v>83</v>
      </c>
      <c r="G84" t="str">
        <f>+VLOOKUP(C84,[1]Sheet1!$B:$C,2,0)</f>
        <v>M01</v>
      </c>
    </row>
    <row r="85" spans="1:7" x14ac:dyDescent="0.35">
      <c r="C85" t="s">
        <v>630</v>
      </c>
      <c r="D85" t="s">
        <v>618</v>
      </c>
      <c r="E85" t="s">
        <v>91</v>
      </c>
      <c r="F85" t="s">
        <v>377</v>
      </c>
      <c r="G85" t="str">
        <f>+VLOOKUP(C85,[1]Sheet1!$B:$C,2,0)</f>
        <v>M19</v>
      </c>
    </row>
    <row r="86" spans="1:7" x14ac:dyDescent="0.35">
      <c r="C86" t="s">
        <v>296</v>
      </c>
      <c r="D86" t="s">
        <v>618</v>
      </c>
      <c r="E86" t="s">
        <v>91</v>
      </c>
      <c r="F86" t="s">
        <v>377</v>
      </c>
      <c r="G86" t="str">
        <f>+VLOOKUP(C86,[1]Sheet1!$B:$C,2,0)</f>
        <v>M19</v>
      </c>
    </row>
    <row r="87" spans="1:7" x14ac:dyDescent="0.35">
      <c r="C87" t="s">
        <v>283</v>
      </c>
      <c r="D87" t="s">
        <v>73</v>
      </c>
      <c r="E87" t="s">
        <v>73</v>
      </c>
      <c r="F87" t="s">
        <v>214</v>
      </c>
      <c r="G87" t="str">
        <f>+VLOOKUP(C87,[1]Sheet1!$B:$C,2,0)</f>
        <v>M45</v>
      </c>
    </row>
    <row r="88" spans="1:7" x14ac:dyDescent="0.35">
      <c r="C88" t="s">
        <v>641</v>
      </c>
      <c r="D88" t="s">
        <v>644</v>
      </c>
      <c r="E88" t="s">
        <v>73</v>
      </c>
      <c r="F88" t="s">
        <v>639</v>
      </c>
      <c r="G88" t="str">
        <f>+VLOOKUP(C88,[1]Sheet1!$B:$C,2,0)</f>
        <v>M46</v>
      </c>
    </row>
    <row r="89" spans="1:7" x14ac:dyDescent="0.35">
      <c r="C89" t="s">
        <v>619</v>
      </c>
      <c r="D89" t="s">
        <v>622</v>
      </c>
      <c r="E89" t="s">
        <v>73</v>
      </c>
      <c r="F89" t="s">
        <v>617</v>
      </c>
      <c r="G89" t="str">
        <f>+VLOOKUP(C89,[1]Sheet1!$B:$C,2,0)</f>
        <v>M46</v>
      </c>
    </row>
    <row r="90" spans="1:7" x14ac:dyDescent="0.35">
      <c r="C90" t="s">
        <v>665</v>
      </c>
      <c r="D90" t="s">
        <v>671</v>
      </c>
      <c r="E90" t="s">
        <v>73</v>
      </c>
      <c r="F90" t="s">
        <v>664</v>
      </c>
      <c r="G90" t="str">
        <f>+VLOOKUP(C90,[1]Sheet1!$B:$C,2,0)</f>
        <v>M46</v>
      </c>
    </row>
    <row r="91" spans="1:7" x14ac:dyDescent="0.35">
      <c r="D91" t="s">
        <v>667</v>
      </c>
      <c r="E91" t="s">
        <v>73</v>
      </c>
      <c r="F91" t="s">
        <v>664</v>
      </c>
      <c r="G91" t="e">
        <f>+VLOOKUP(C91,[1]Sheet1!$B:$C,2,0)</f>
        <v>#N/A</v>
      </c>
    </row>
    <row r="92" spans="1:7" x14ac:dyDescent="0.35">
      <c r="C92" t="s">
        <v>235</v>
      </c>
      <c r="D92" t="s">
        <v>238</v>
      </c>
      <c r="E92" t="s">
        <v>73</v>
      </c>
      <c r="F92" t="s">
        <v>397</v>
      </c>
      <c r="G92" t="str">
        <f>+VLOOKUP(C92,[1]Sheet1!$B:$C,2,0)</f>
        <v>M46</v>
      </c>
    </row>
    <row r="93" spans="1:7" x14ac:dyDescent="0.35">
      <c r="C93" t="s">
        <v>655</v>
      </c>
      <c r="D93" t="s">
        <v>658</v>
      </c>
      <c r="E93" t="s">
        <v>73</v>
      </c>
      <c r="F93" t="s">
        <v>653</v>
      </c>
      <c r="G93" t="e">
        <f>+VLOOKUP(C93,[1]Sheet1!$B:$C,2,0)</f>
        <v>#N/A</v>
      </c>
    </row>
    <row r="94" spans="1:7" x14ac:dyDescent="0.35">
      <c r="C94" t="s">
        <v>701</v>
      </c>
      <c r="D94" t="s">
        <v>73</v>
      </c>
      <c r="E94" t="s">
        <v>73</v>
      </c>
      <c r="F94" t="s">
        <v>407</v>
      </c>
      <c r="G94" t="e">
        <f>+VLOOKUP(C94,[1]Sheet1!$B:$C,2,0)</f>
        <v>#N/A</v>
      </c>
    </row>
    <row r="95" spans="1:7" x14ac:dyDescent="0.35">
      <c r="C95" t="s">
        <v>697</v>
      </c>
      <c r="D95" t="s">
        <v>91</v>
      </c>
      <c r="E95" t="s">
        <v>73</v>
      </c>
      <c r="F95" t="s">
        <v>407</v>
      </c>
      <c r="G95" t="e">
        <f>+VLOOKUP(C95,[1]Sheet1!$B:$C,2,0)</f>
        <v>#N/A</v>
      </c>
    </row>
    <row r="96" spans="1:7" x14ac:dyDescent="0.35">
      <c r="C96" t="s">
        <v>160</v>
      </c>
      <c r="D96" t="s">
        <v>73</v>
      </c>
      <c r="E96" t="s">
        <v>73</v>
      </c>
      <c r="F96" t="s">
        <v>136</v>
      </c>
      <c r="G96" t="e">
        <f>+VLOOKUP(C96,[1]Sheet1!$B:$C,2,0)</f>
        <v>#N/A</v>
      </c>
    </row>
    <row r="97" spans="1:7" x14ac:dyDescent="0.35">
      <c r="D97" t="s">
        <v>493</v>
      </c>
      <c r="E97" t="s">
        <v>493</v>
      </c>
      <c r="F97" t="s">
        <v>681</v>
      </c>
      <c r="G97" t="e">
        <f>+VLOOKUP(C97,[1]Sheet1!$B:$C,2,0)</f>
        <v>#N/A</v>
      </c>
    </row>
    <row r="98" spans="1:7" x14ac:dyDescent="0.35">
      <c r="C98" t="s">
        <v>224</v>
      </c>
      <c r="D98" t="s">
        <v>684</v>
      </c>
      <c r="E98" t="s">
        <v>493</v>
      </c>
      <c r="F98" t="s">
        <v>681</v>
      </c>
      <c r="G98" t="e">
        <f>+VLOOKUP(C98,[1]Sheet1!$B:$C,2,0)</f>
        <v>#N/A</v>
      </c>
    </row>
    <row r="99" spans="1:7" x14ac:dyDescent="0.35">
      <c r="C99" t="s">
        <v>156</v>
      </c>
      <c r="D99" t="s">
        <v>677</v>
      </c>
      <c r="E99" t="s">
        <v>73</v>
      </c>
      <c r="F99" t="s">
        <v>136</v>
      </c>
      <c r="G99" t="e">
        <f>+VLOOKUP(C99,[1]Sheet1!$B:$C,2,0)</f>
        <v>#N/A</v>
      </c>
    </row>
    <row r="100" spans="1:7" x14ac:dyDescent="0.35">
      <c r="C100" t="s">
        <v>153</v>
      </c>
      <c r="D100" t="s">
        <v>73</v>
      </c>
      <c r="E100" t="s">
        <v>73</v>
      </c>
      <c r="F100" t="s">
        <v>136</v>
      </c>
      <c r="G100" t="e">
        <f>+VLOOKUP(C100,[1]Sheet1!$B:$C,2,0)</f>
        <v>#N/A</v>
      </c>
    </row>
    <row r="101" spans="1:7" x14ac:dyDescent="0.35">
      <c r="D101" t="s">
        <v>493</v>
      </c>
      <c r="E101" t="s">
        <v>493</v>
      </c>
      <c r="F101" t="s">
        <v>681</v>
      </c>
      <c r="G101" t="e">
        <f>+VLOOKUP(C101,[1]Sheet1!$B:$C,2,0)</f>
        <v>#N/A</v>
      </c>
    </row>
    <row r="102" spans="1:7" x14ac:dyDescent="0.35">
      <c r="A102" t="s">
        <v>743</v>
      </c>
      <c r="B102" t="s">
        <v>703</v>
      </c>
      <c r="C102" t="s">
        <v>716</v>
      </c>
      <c r="D102" t="s">
        <v>714</v>
      </c>
      <c r="E102" t="s">
        <v>73</v>
      </c>
      <c r="F102" t="s">
        <v>714</v>
      </c>
      <c r="G102" t="e">
        <f>+VLOOKUP(C102,[1]Sheet1!$B:$C,2,0)</f>
        <v>#N/A</v>
      </c>
    </row>
    <row r="103" spans="1:7" x14ac:dyDescent="0.35">
      <c r="C103" t="s">
        <v>726</v>
      </c>
      <c r="D103" t="s">
        <v>729</v>
      </c>
      <c r="E103" t="s">
        <v>162</v>
      </c>
      <c r="F103" t="s">
        <v>724</v>
      </c>
      <c r="G103" t="str">
        <f>+VLOOKUP(C103,[1]Sheet1!$B:$C,2,0)</f>
        <v>M23</v>
      </c>
    </row>
    <row r="104" spans="1:7" x14ac:dyDescent="0.35">
      <c r="C104" t="s">
        <v>160</v>
      </c>
      <c r="D104" t="s">
        <v>162</v>
      </c>
      <c r="E104" t="s">
        <v>162</v>
      </c>
      <c r="F104" t="s">
        <v>724</v>
      </c>
      <c r="G104" t="e">
        <f>+VLOOKUP(C104,[1]Sheet1!$B:$C,2,0)</f>
        <v>#N/A</v>
      </c>
    </row>
    <row r="105" spans="1:7" x14ac:dyDescent="0.35">
      <c r="C105" t="s">
        <v>224</v>
      </c>
      <c r="D105" t="s">
        <v>732</v>
      </c>
      <c r="E105" t="s">
        <v>162</v>
      </c>
      <c r="F105" t="s">
        <v>724</v>
      </c>
      <c r="G105" t="e">
        <f>+VLOOKUP(C105,[1]Sheet1!$B:$C,2,0)</f>
        <v>#N/A</v>
      </c>
    </row>
    <row r="106" spans="1:7" x14ac:dyDescent="0.35">
      <c r="C106" t="s">
        <v>153</v>
      </c>
      <c r="D106" t="s">
        <v>162</v>
      </c>
      <c r="E106" t="s">
        <v>162</v>
      </c>
      <c r="F106" t="s">
        <v>724</v>
      </c>
      <c r="G106" t="e">
        <f>+VLOOKUP(C106,[1]Sheet1!$B:$C,2,0)</f>
        <v>#N/A</v>
      </c>
    </row>
    <row r="107" spans="1:7" x14ac:dyDescent="0.35">
      <c r="A107" t="s">
        <v>744</v>
      </c>
      <c r="G107" t="e">
        <f>+VLOOKUP(C107,[1]Sheet1!$B:$C,2,0)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1D96-A322-4848-A721-6FBD2EDCEA85}">
  <dimension ref="A1:BG135"/>
  <sheetViews>
    <sheetView workbookViewId="0">
      <selection activeCell="A4" sqref="A4"/>
    </sheetView>
  </sheetViews>
  <sheetFormatPr defaultRowHeight="14.5" x14ac:dyDescent="0.35"/>
  <cols>
    <col min="1" max="1" width="26.7265625" customWidth="1"/>
    <col min="2" max="2" width="7.81640625" bestFit="1" customWidth="1"/>
    <col min="3" max="3" width="5.7265625" bestFit="1" customWidth="1"/>
    <col min="4" max="4" width="22.453125" bestFit="1" customWidth="1"/>
    <col min="5" max="5" width="9.54296875" bestFit="1" customWidth="1"/>
    <col min="6" max="6" width="22.453125" bestFit="1" customWidth="1"/>
    <col min="7" max="7" width="13.26953125" bestFit="1" customWidth="1"/>
    <col min="8" max="8" width="12" bestFit="1" customWidth="1"/>
    <col min="9" max="9" width="17.08984375" bestFit="1" customWidth="1"/>
    <col min="10" max="10" width="15.81640625" bestFit="1" customWidth="1"/>
    <col min="11" max="11" width="16.453125" bestFit="1" customWidth="1"/>
    <col min="12" max="12" width="15.26953125" bestFit="1" customWidth="1"/>
    <col min="13" max="13" width="18.90625" bestFit="1" customWidth="1"/>
    <col min="14" max="14" width="17.7265625" bestFit="1" customWidth="1"/>
    <col min="15" max="15" width="11.26953125" bestFit="1" customWidth="1"/>
    <col min="16" max="16" width="10.08984375" bestFit="1" customWidth="1"/>
    <col min="17" max="17" width="13" bestFit="1" customWidth="1"/>
    <col min="18" max="18" width="8.81640625" bestFit="1" customWidth="1"/>
    <col min="19" max="19" width="11.90625" bestFit="1" customWidth="1"/>
    <col min="20" max="20" width="11.6328125" bestFit="1" customWidth="1"/>
    <col min="21" max="21" width="34.90625" bestFit="1" customWidth="1"/>
    <col min="22" max="22" width="13.1796875" bestFit="1" customWidth="1"/>
    <col min="23" max="23" width="9.36328125" bestFit="1" customWidth="1"/>
    <col min="24" max="24" width="34.90625" bestFit="1" customWidth="1"/>
    <col min="25" max="25" width="11.08984375" bestFit="1" customWidth="1"/>
    <col min="26" max="26" width="9.90625" bestFit="1" customWidth="1"/>
    <col min="27" max="27" width="7.54296875" bestFit="1" customWidth="1"/>
    <col min="28" max="28" width="5.54296875" bestFit="1" customWidth="1"/>
    <col min="29" max="29" width="26.08984375" bestFit="1" customWidth="1"/>
    <col min="30" max="30" width="7.26953125" bestFit="1" customWidth="1"/>
    <col min="31" max="31" width="11.1796875" bestFit="1" customWidth="1"/>
    <col min="32" max="32" width="15.36328125" bestFit="1" customWidth="1"/>
    <col min="33" max="33" width="14.1796875" bestFit="1" customWidth="1"/>
    <col min="34" max="34" width="6.08984375" bestFit="1" customWidth="1"/>
    <col min="35" max="35" width="13.81640625" bestFit="1" customWidth="1"/>
    <col min="36" max="36" width="11.6328125" bestFit="1" customWidth="1"/>
    <col min="37" max="37" width="12.08984375" bestFit="1" customWidth="1"/>
    <col min="38" max="38" width="12.7265625" bestFit="1" customWidth="1"/>
    <col min="39" max="39" width="12.6328125" bestFit="1" customWidth="1"/>
    <col min="40" max="40" width="9.90625" bestFit="1" customWidth="1"/>
    <col min="41" max="41" width="15.453125" bestFit="1" customWidth="1"/>
    <col min="42" max="42" width="15.90625" bestFit="1" customWidth="1"/>
    <col min="43" max="43" width="32.6328125" bestFit="1" customWidth="1"/>
    <col min="44" max="44" width="34.90625" bestFit="1" customWidth="1"/>
    <col min="45" max="45" width="27" bestFit="1" customWidth="1"/>
    <col min="46" max="46" width="10.7265625" bestFit="1" customWidth="1"/>
    <col min="47" max="48" width="14.26953125" bestFit="1" customWidth="1"/>
    <col min="49" max="49" width="5.90625" bestFit="1" customWidth="1"/>
    <col min="50" max="50" width="17.26953125" bestFit="1" customWidth="1"/>
    <col min="51" max="51" width="13.26953125" bestFit="1" customWidth="1"/>
    <col min="52" max="52" width="10.81640625" bestFit="1" customWidth="1"/>
    <col min="53" max="53" width="34.90625" bestFit="1" customWidth="1"/>
    <col min="54" max="54" width="8.54296875" bestFit="1" customWidth="1"/>
    <col min="55" max="55" width="12.36328125" bestFit="1" customWidth="1"/>
    <col min="56" max="56" width="4.7265625" bestFit="1" customWidth="1"/>
    <col min="57" max="57" width="8.6328125" bestFit="1" customWidth="1"/>
    <col min="58" max="58" width="9.1796875" bestFit="1" customWidth="1"/>
    <col min="59" max="59" width="13.81640625" bestFit="1" customWidth="1"/>
  </cols>
  <sheetData>
    <row r="1" spans="1:59" ht="23.5" customHeight="1" x14ac:dyDescent="0.35">
      <c r="A1" s="1" t="s">
        <v>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ht="29.5" x14ac:dyDescent="0.4">
      <c r="A2" s="3" t="s">
        <v>735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60</v>
      </c>
      <c r="G2" s="2"/>
      <c r="H2" s="2"/>
      <c r="I2" s="2"/>
      <c r="J2" s="2"/>
      <c r="K2" s="2"/>
      <c r="L2" s="2"/>
      <c r="M2" s="2"/>
      <c r="N2" s="2"/>
      <c r="O2" s="2" t="s">
        <v>62</v>
      </c>
      <c r="P2" s="2" t="s">
        <v>63</v>
      </c>
      <c r="Q2" s="2"/>
      <c r="R2" s="2"/>
      <c r="S2" s="2"/>
      <c r="T2" s="2" t="s">
        <v>64</v>
      </c>
      <c r="U2" s="2" t="s">
        <v>65</v>
      </c>
      <c r="V2" s="2" t="s">
        <v>66</v>
      </c>
      <c r="W2" s="2" t="s">
        <v>66</v>
      </c>
      <c r="X2" s="2" t="s">
        <v>65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s="2"/>
      <c r="AF2" s="2"/>
      <c r="AG2" s="2"/>
      <c r="AH2" s="2" t="s">
        <v>73</v>
      </c>
      <c r="AI2" s="2" t="s">
        <v>74</v>
      </c>
      <c r="AJ2" s="2" t="s">
        <v>75</v>
      </c>
      <c r="AK2" s="2" t="s">
        <v>62</v>
      </c>
      <c r="AL2" s="2" t="s">
        <v>76</v>
      </c>
      <c r="AM2" s="2" t="s">
        <v>77</v>
      </c>
      <c r="AN2" s="2" t="s">
        <v>78</v>
      </c>
      <c r="AO2" s="2"/>
      <c r="AP2" s="2" t="s">
        <v>79</v>
      </c>
      <c r="AQ2" s="2" t="s">
        <v>80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 t="s">
        <v>73</v>
      </c>
      <c r="AX2" s="2" t="s">
        <v>85</v>
      </c>
      <c r="AY2" s="2"/>
      <c r="AZ2" s="2" t="s">
        <v>86</v>
      </c>
      <c r="BA2" s="2" t="s">
        <v>87</v>
      </c>
      <c r="BB2" s="2" t="s">
        <v>88</v>
      </c>
      <c r="BC2" s="2" t="s">
        <v>89</v>
      </c>
      <c r="BD2" s="2"/>
      <c r="BE2" s="2"/>
      <c r="BF2" s="2"/>
      <c r="BG2" s="2" t="s">
        <v>90</v>
      </c>
    </row>
    <row r="3" spans="1:59" ht="29.5" x14ac:dyDescent="0.4">
      <c r="A3" s="3" t="s">
        <v>735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60</v>
      </c>
      <c r="G3" s="2"/>
      <c r="H3" s="2"/>
      <c r="I3" s="2"/>
      <c r="J3" s="2"/>
      <c r="K3" s="2"/>
      <c r="L3" s="2"/>
      <c r="M3" s="2"/>
      <c r="N3" s="2"/>
      <c r="O3" s="2" t="s">
        <v>62</v>
      </c>
      <c r="P3" s="2" t="s">
        <v>63</v>
      </c>
      <c r="Q3" s="2"/>
      <c r="R3" s="2"/>
      <c r="S3" s="2"/>
      <c r="T3" s="2" t="s">
        <v>64</v>
      </c>
      <c r="U3" s="2" t="s">
        <v>65</v>
      </c>
      <c r="V3" s="2" t="s">
        <v>66</v>
      </c>
      <c r="W3" s="2" t="s">
        <v>66</v>
      </c>
      <c r="X3" s="2" t="s">
        <v>65</v>
      </c>
      <c r="Y3" s="2" t="s">
        <v>67</v>
      </c>
      <c r="Z3" s="2" t="s">
        <v>68</v>
      </c>
      <c r="AA3" s="2" t="s">
        <v>91</v>
      </c>
      <c r="AB3" s="2" t="s">
        <v>70</v>
      </c>
      <c r="AC3" s="2" t="s">
        <v>71</v>
      </c>
      <c r="AD3" s="2" t="s">
        <v>72</v>
      </c>
      <c r="AE3" s="2"/>
      <c r="AF3" s="2"/>
      <c r="AG3" s="2"/>
      <c r="AH3" s="2" t="s">
        <v>73</v>
      </c>
      <c r="AI3" s="2" t="s">
        <v>74</v>
      </c>
      <c r="AJ3" s="2" t="s">
        <v>92</v>
      </c>
      <c r="AK3" s="2" t="s">
        <v>62</v>
      </c>
      <c r="AL3" s="2" t="s">
        <v>93</v>
      </c>
      <c r="AM3" s="2" t="s">
        <v>94</v>
      </c>
      <c r="AN3" s="2" t="s">
        <v>78</v>
      </c>
      <c r="AO3" s="2"/>
      <c r="AP3" s="2" t="s">
        <v>95</v>
      </c>
      <c r="AQ3" s="2" t="s">
        <v>80</v>
      </c>
      <c r="AR3" s="2" t="s">
        <v>81</v>
      </c>
      <c r="AS3" s="2" t="s">
        <v>96</v>
      </c>
      <c r="AT3" s="2"/>
      <c r="AU3" s="2" t="s">
        <v>83</v>
      </c>
      <c r="AV3" s="2" t="s">
        <v>84</v>
      </c>
      <c r="AW3" s="2" t="s">
        <v>73</v>
      </c>
      <c r="AX3" s="2" t="s">
        <v>85</v>
      </c>
      <c r="AY3" s="2"/>
      <c r="AZ3" s="2" t="s">
        <v>86</v>
      </c>
      <c r="BA3" s="2" t="s">
        <v>87</v>
      </c>
      <c r="BB3" s="2" t="s">
        <v>88</v>
      </c>
      <c r="BC3" s="2" t="s">
        <v>89</v>
      </c>
      <c r="BD3" s="2"/>
      <c r="BE3" s="2"/>
      <c r="BF3" s="2"/>
      <c r="BG3" s="2" t="s">
        <v>90</v>
      </c>
    </row>
    <row r="4" spans="1:59" ht="29.5" x14ac:dyDescent="0.4">
      <c r="A4" s="3" t="s">
        <v>735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60</v>
      </c>
      <c r="G4" s="2"/>
      <c r="H4" s="2"/>
      <c r="I4" s="2"/>
      <c r="J4" s="2"/>
      <c r="K4" s="2"/>
      <c r="L4" s="2"/>
      <c r="M4" s="2"/>
      <c r="N4" s="2"/>
      <c r="O4" s="2" t="s">
        <v>62</v>
      </c>
      <c r="P4" s="2" t="s">
        <v>63</v>
      </c>
      <c r="Q4" s="2"/>
      <c r="R4" s="2"/>
      <c r="S4" s="2"/>
      <c r="T4" s="2" t="s">
        <v>64</v>
      </c>
      <c r="U4" s="2" t="s">
        <v>65</v>
      </c>
      <c r="V4" s="2" t="s">
        <v>66</v>
      </c>
      <c r="W4" s="2" t="s">
        <v>66</v>
      </c>
      <c r="X4" s="2" t="s">
        <v>65</v>
      </c>
      <c r="Y4" s="2" t="s">
        <v>67</v>
      </c>
      <c r="Z4" s="2" t="s">
        <v>68</v>
      </c>
      <c r="AA4" s="2" t="s">
        <v>97</v>
      </c>
      <c r="AB4" s="2" t="s">
        <v>70</v>
      </c>
      <c r="AC4" s="2" t="s">
        <v>71</v>
      </c>
      <c r="AD4" s="2" t="s">
        <v>72</v>
      </c>
      <c r="AE4" s="2"/>
      <c r="AF4" s="2"/>
      <c r="AG4" s="2"/>
      <c r="AH4" s="2" t="s">
        <v>73</v>
      </c>
      <c r="AI4" s="2" t="s">
        <v>74</v>
      </c>
      <c r="AJ4" s="2" t="s">
        <v>98</v>
      </c>
      <c r="AK4" s="2" t="s">
        <v>62</v>
      </c>
      <c r="AL4" s="2" t="s">
        <v>99</v>
      </c>
      <c r="AM4" s="2" t="s">
        <v>100</v>
      </c>
      <c r="AN4" s="2" t="s">
        <v>101</v>
      </c>
      <c r="AO4" s="2"/>
      <c r="AP4" s="2" t="s">
        <v>102</v>
      </c>
      <c r="AQ4" s="2" t="s">
        <v>103</v>
      </c>
      <c r="AR4" s="2" t="s">
        <v>104</v>
      </c>
      <c r="AS4" s="2" t="s">
        <v>105</v>
      </c>
      <c r="AT4" s="2"/>
      <c r="AU4" s="2" t="s">
        <v>106</v>
      </c>
      <c r="AV4" s="2" t="s">
        <v>107</v>
      </c>
      <c r="AW4" s="2" t="s">
        <v>73</v>
      </c>
      <c r="AX4" s="2" t="s">
        <v>108</v>
      </c>
      <c r="AY4" s="2"/>
      <c r="AZ4" s="2" t="s">
        <v>109</v>
      </c>
      <c r="BA4" s="2" t="s">
        <v>110</v>
      </c>
      <c r="BB4" s="2" t="s">
        <v>111</v>
      </c>
      <c r="BC4" s="2" t="s">
        <v>112</v>
      </c>
      <c r="BD4" s="2"/>
      <c r="BE4" s="2"/>
      <c r="BF4" s="2"/>
      <c r="BG4" s="2" t="s">
        <v>90</v>
      </c>
    </row>
    <row r="5" spans="1:59" ht="29.5" x14ac:dyDescent="0.4">
      <c r="A5" s="3" t="s">
        <v>735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60</v>
      </c>
      <c r="G5" s="2"/>
      <c r="H5" s="2"/>
      <c r="I5" s="2"/>
      <c r="J5" s="2"/>
      <c r="K5" s="2"/>
      <c r="L5" s="2"/>
      <c r="M5" s="2"/>
      <c r="N5" s="2"/>
      <c r="O5" s="2" t="s">
        <v>62</v>
      </c>
      <c r="P5" s="2" t="s">
        <v>63</v>
      </c>
      <c r="Q5" s="2"/>
      <c r="R5" s="2"/>
      <c r="S5" s="2"/>
      <c r="T5" s="2" t="s">
        <v>64</v>
      </c>
      <c r="U5" s="2" t="s">
        <v>65</v>
      </c>
      <c r="V5" s="2" t="s">
        <v>66</v>
      </c>
      <c r="W5" s="2" t="s">
        <v>66</v>
      </c>
      <c r="X5" s="2" t="s">
        <v>65</v>
      </c>
      <c r="Y5" s="2" t="s">
        <v>67</v>
      </c>
      <c r="Z5" s="2" t="s">
        <v>68</v>
      </c>
      <c r="AA5" s="2" t="s">
        <v>113</v>
      </c>
      <c r="AB5" s="2" t="s">
        <v>70</v>
      </c>
      <c r="AC5" s="2" t="s">
        <v>71</v>
      </c>
      <c r="AD5" s="2" t="s">
        <v>72</v>
      </c>
      <c r="AE5" s="2"/>
      <c r="AF5" s="2"/>
      <c r="AG5" s="2"/>
      <c r="AH5" s="2" t="s">
        <v>91</v>
      </c>
      <c r="AI5" s="2" t="s">
        <v>74</v>
      </c>
      <c r="AJ5" s="2" t="s">
        <v>114</v>
      </c>
      <c r="AK5" s="2" t="s">
        <v>115</v>
      </c>
      <c r="AL5" s="2" t="s">
        <v>116</v>
      </c>
      <c r="AM5" s="2" t="s">
        <v>117</v>
      </c>
      <c r="AN5" s="2" t="s">
        <v>118</v>
      </c>
      <c r="AO5" s="2"/>
      <c r="AP5" s="2" t="s">
        <v>119</v>
      </c>
      <c r="AQ5" s="2" t="s">
        <v>120</v>
      </c>
      <c r="AR5" s="2" t="s">
        <v>121</v>
      </c>
      <c r="AS5" s="2" t="s">
        <v>122</v>
      </c>
      <c r="AT5" s="2"/>
      <c r="AU5" s="2" t="s">
        <v>123</v>
      </c>
      <c r="AV5" s="2" t="s">
        <v>124</v>
      </c>
      <c r="AW5" s="2" t="s">
        <v>73</v>
      </c>
      <c r="AX5" s="2" t="s">
        <v>125</v>
      </c>
      <c r="AY5" s="2"/>
      <c r="AZ5" s="2" t="s">
        <v>126</v>
      </c>
      <c r="BA5" s="2" t="s">
        <v>127</v>
      </c>
      <c r="BB5" s="2" t="s">
        <v>111</v>
      </c>
      <c r="BC5" s="2" t="s">
        <v>128</v>
      </c>
      <c r="BD5" s="2"/>
      <c r="BE5" s="2"/>
      <c r="BF5" s="2"/>
      <c r="BG5" s="2" t="s">
        <v>90</v>
      </c>
    </row>
    <row r="6" spans="1:59" ht="29.5" x14ac:dyDescent="0.4">
      <c r="A6" s="3" t="s">
        <v>735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60</v>
      </c>
      <c r="G6" s="2"/>
      <c r="H6" s="2"/>
      <c r="I6" s="2"/>
      <c r="J6" s="2"/>
      <c r="K6" s="2"/>
      <c r="L6" s="2"/>
      <c r="M6" s="2"/>
      <c r="N6" s="2"/>
      <c r="O6" s="2" t="s">
        <v>62</v>
      </c>
      <c r="P6" s="2" t="s">
        <v>63</v>
      </c>
      <c r="Q6" s="2"/>
      <c r="R6" s="2"/>
      <c r="S6" s="2"/>
      <c r="T6" s="2" t="s">
        <v>64</v>
      </c>
      <c r="U6" s="2" t="s">
        <v>65</v>
      </c>
      <c r="V6" s="2" t="s">
        <v>66</v>
      </c>
      <c r="W6" s="2" t="s">
        <v>66</v>
      </c>
      <c r="X6" s="2" t="s">
        <v>65</v>
      </c>
      <c r="Y6" s="2" t="s">
        <v>67</v>
      </c>
      <c r="Z6" s="2" t="s">
        <v>68</v>
      </c>
      <c r="AA6" s="2" t="s">
        <v>88</v>
      </c>
      <c r="AB6" s="2" t="s">
        <v>70</v>
      </c>
      <c r="AC6" s="2" t="s">
        <v>71</v>
      </c>
      <c r="AD6" s="2" t="s">
        <v>72</v>
      </c>
      <c r="AE6" s="2"/>
      <c r="AF6" s="2"/>
      <c r="AG6" s="2"/>
      <c r="AH6" s="2" t="s">
        <v>73</v>
      </c>
      <c r="AI6" s="2" t="s">
        <v>74</v>
      </c>
      <c r="AJ6" s="2" t="s">
        <v>129</v>
      </c>
      <c r="AK6" s="2" t="s">
        <v>62</v>
      </c>
      <c r="AL6" s="2" t="s">
        <v>130</v>
      </c>
      <c r="AM6" s="2" t="s">
        <v>117</v>
      </c>
      <c r="AN6" s="2" t="s">
        <v>131</v>
      </c>
      <c r="AO6" s="2"/>
      <c r="AP6" s="2" t="s">
        <v>132</v>
      </c>
      <c r="AQ6" s="2" t="s">
        <v>133</v>
      </c>
      <c r="AR6" s="2" t="s">
        <v>134</v>
      </c>
      <c r="AS6" s="2" t="s">
        <v>135</v>
      </c>
      <c r="AT6" s="2"/>
      <c r="AU6" s="2" t="s">
        <v>136</v>
      </c>
      <c r="AV6" s="2" t="s">
        <v>137</v>
      </c>
      <c r="AW6" s="2" t="s">
        <v>73</v>
      </c>
      <c r="AX6" s="2" t="s">
        <v>138</v>
      </c>
      <c r="AY6" s="2"/>
      <c r="AZ6" s="2" t="s">
        <v>139</v>
      </c>
      <c r="BA6" s="2" t="s">
        <v>140</v>
      </c>
      <c r="BB6" s="2" t="s">
        <v>141</v>
      </c>
      <c r="BC6" s="2" t="s">
        <v>142</v>
      </c>
      <c r="BD6" s="2"/>
      <c r="BE6" s="2"/>
      <c r="BF6" s="2"/>
      <c r="BG6" s="2" t="s">
        <v>90</v>
      </c>
    </row>
    <row r="7" spans="1:59" ht="29.5" x14ac:dyDescent="0.4">
      <c r="A7" s="3" t="s">
        <v>735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60</v>
      </c>
      <c r="G7" s="2"/>
      <c r="H7" s="2"/>
      <c r="I7" s="2"/>
      <c r="J7" s="2"/>
      <c r="K7" s="2"/>
      <c r="L7" s="2"/>
      <c r="M7" s="2"/>
      <c r="N7" s="2"/>
      <c r="O7" s="2" t="s">
        <v>62</v>
      </c>
      <c r="P7" s="2" t="s">
        <v>63</v>
      </c>
      <c r="Q7" s="2"/>
      <c r="R7" s="2"/>
      <c r="S7" s="2"/>
      <c r="T7" s="2" t="s">
        <v>64</v>
      </c>
      <c r="U7" s="2" t="s">
        <v>65</v>
      </c>
      <c r="V7" s="2" t="s">
        <v>66</v>
      </c>
      <c r="W7" s="2" t="s">
        <v>66</v>
      </c>
      <c r="X7" s="2" t="s">
        <v>65</v>
      </c>
      <c r="Y7" s="2" t="s">
        <v>67</v>
      </c>
      <c r="Z7" s="2" t="s">
        <v>68</v>
      </c>
      <c r="AA7" s="2" t="s">
        <v>143</v>
      </c>
      <c r="AB7" s="2" t="s">
        <v>70</v>
      </c>
      <c r="AC7" s="2" t="s">
        <v>71</v>
      </c>
      <c r="AD7" s="2" t="s">
        <v>72</v>
      </c>
      <c r="AE7" s="2"/>
      <c r="AF7" s="2"/>
      <c r="AG7" s="2"/>
      <c r="AH7" s="2" t="s">
        <v>69</v>
      </c>
      <c r="AI7" s="2" t="s">
        <v>74</v>
      </c>
      <c r="AJ7" s="2" t="s">
        <v>144</v>
      </c>
      <c r="AK7" s="2" t="s">
        <v>62</v>
      </c>
      <c r="AL7" s="2" t="s">
        <v>145</v>
      </c>
      <c r="AM7" s="2" t="s">
        <v>62</v>
      </c>
      <c r="AN7" s="2" t="s">
        <v>146</v>
      </c>
      <c r="AO7" s="2"/>
      <c r="AP7" s="2" t="s">
        <v>147</v>
      </c>
      <c r="AQ7" s="2" t="s">
        <v>148</v>
      </c>
      <c r="AR7" s="2" t="s">
        <v>149</v>
      </c>
      <c r="AS7" s="2" t="s">
        <v>150</v>
      </c>
      <c r="AT7" s="2"/>
      <c r="AU7" s="2" t="s">
        <v>151</v>
      </c>
      <c r="AV7" s="2" t="s">
        <v>152</v>
      </c>
      <c r="AW7" s="2" t="s">
        <v>73</v>
      </c>
      <c r="AX7" s="2" t="s">
        <v>153</v>
      </c>
      <c r="AY7" s="2" t="s">
        <v>153</v>
      </c>
      <c r="AZ7" s="2" t="s">
        <v>154</v>
      </c>
      <c r="BA7" s="2" t="s">
        <v>153</v>
      </c>
      <c r="BB7" s="2" t="s">
        <v>69</v>
      </c>
      <c r="BC7" s="2" t="s">
        <v>155</v>
      </c>
      <c r="BD7" s="2"/>
      <c r="BE7" s="2"/>
      <c r="BF7" s="2"/>
      <c r="BG7" s="2" t="s">
        <v>90</v>
      </c>
    </row>
    <row r="8" spans="1:59" ht="29.5" x14ac:dyDescent="0.4">
      <c r="A8" s="3" t="s">
        <v>735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60</v>
      </c>
      <c r="G8" s="2"/>
      <c r="H8" s="2"/>
      <c r="I8" s="2"/>
      <c r="J8" s="2"/>
      <c r="K8" s="2"/>
      <c r="L8" s="2"/>
      <c r="M8" s="2"/>
      <c r="N8" s="2"/>
      <c r="O8" s="2" t="s">
        <v>62</v>
      </c>
      <c r="P8" s="2" t="s">
        <v>63</v>
      </c>
      <c r="Q8" s="2"/>
      <c r="R8" s="2"/>
      <c r="S8" s="2"/>
      <c r="T8" s="2" t="s">
        <v>64</v>
      </c>
      <c r="U8" s="2" t="s">
        <v>65</v>
      </c>
      <c r="V8" s="2" t="s">
        <v>66</v>
      </c>
      <c r="W8" s="2" t="s">
        <v>66</v>
      </c>
      <c r="X8" s="2" t="s">
        <v>65</v>
      </c>
      <c r="Y8" s="2" t="s">
        <v>67</v>
      </c>
      <c r="Z8" s="2" t="s">
        <v>68</v>
      </c>
      <c r="AA8" s="2" t="s">
        <v>143</v>
      </c>
      <c r="AB8" s="2" t="s">
        <v>70</v>
      </c>
      <c r="AC8" s="2" t="s">
        <v>71</v>
      </c>
      <c r="AD8" s="2" t="s">
        <v>72</v>
      </c>
      <c r="AE8" s="2"/>
      <c r="AF8" s="2"/>
      <c r="AG8" s="2"/>
      <c r="AH8" s="2" t="s">
        <v>69</v>
      </c>
      <c r="AI8" s="2" t="s">
        <v>74</v>
      </c>
      <c r="AJ8" s="2" t="s">
        <v>144</v>
      </c>
      <c r="AK8" s="2" t="s">
        <v>62</v>
      </c>
      <c r="AL8" s="2" t="s">
        <v>145</v>
      </c>
      <c r="AM8" s="2" t="s">
        <v>62</v>
      </c>
      <c r="AN8" s="2" t="s">
        <v>146</v>
      </c>
      <c r="AO8" s="2"/>
      <c r="AP8" s="2" t="s">
        <v>147</v>
      </c>
      <c r="AQ8" s="2" t="s">
        <v>148</v>
      </c>
      <c r="AR8" s="2" t="s">
        <v>149</v>
      </c>
      <c r="AS8" s="2" t="s">
        <v>150</v>
      </c>
      <c r="AT8" s="2"/>
      <c r="AU8" s="2" t="s">
        <v>151</v>
      </c>
      <c r="AV8" s="2" t="s">
        <v>152</v>
      </c>
      <c r="AW8" s="2" t="s">
        <v>91</v>
      </c>
      <c r="AX8" s="2" t="s">
        <v>156</v>
      </c>
      <c r="AY8" s="2"/>
      <c r="AZ8" s="2" t="s">
        <v>157</v>
      </c>
      <c r="BA8" s="2" t="s">
        <v>156</v>
      </c>
      <c r="BB8" s="2" t="s">
        <v>158</v>
      </c>
      <c r="BC8" s="2" t="s">
        <v>159</v>
      </c>
      <c r="BD8" s="2"/>
      <c r="BE8" s="2"/>
      <c r="BF8" s="2"/>
      <c r="BG8" s="2" t="s">
        <v>90</v>
      </c>
    </row>
    <row r="9" spans="1:59" ht="29.5" x14ac:dyDescent="0.4">
      <c r="A9" s="3" t="s">
        <v>735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60</v>
      </c>
      <c r="G9" s="2"/>
      <c r="H9" s="2"/>
      <c r="I9" s="2"/>
      <c r="J9" s="2"/>
      <c r="K9" s="2"/>
      <c r="L9" s="2"/>
      <c r="M9" s="2"/>
      <c r="N9" s="2"/>
      <c r="O9" s="2" t="s">
        <v>62</v>
      </c>
      <c r="P9" s="2" t="s">
        <v>63</v>
      </c>
      <c r="Q9" s="2"/>
      <c r="R9" s="2"/>
      <c r="S9" s="2"/>
      <c r="T9" s="2" t="s">
        <v>64</v>
      </c>
      <c r="U9" s="2" t="s">
        <v>65</v>
      </c>
      <c r="V9" s="2" t="s">
        <v>66</v>
      </c>
      <c r="W9" s="2" t="s">
        <v>66</v>
      </c>
      <c r="X9" s="2" t="s">
        <v>65</v>
      </c>
      <c r="Y9" s="2" t="s">
        <v>67</v>
      </c>
      <c r="Z9" s="2" t="s">
        <v>68</v>
      </c>
      <c r="AA9" s="2" t="s">
        <v>143</v>
      </c>
      <c r="AB9" s="2" t="s">
        <v>70</v>
      </c>
      <c r="AC9" s="2" t="s">
        <v>71</v>
      </c>
      <c r="AD9" s="2" t="s">
        <v>72</v>
      </c>
      <c r="AE9" s="2"/>
      <c r="AF9" s="2"/>
      <c r="AG9" s="2"/>
      <c r="AH9" s="2" t="s">
        <v>69</v>
      </c>
      <c r="AI9" s="2" t="s">
        <v>74</v>
      </c>
      <c r="AJ9" s="2" t="s">
        <v>144</v>
      </c>
      <c r="AK9" s="2" t="s">
        <v>62</v>
      </c>
      <c r="AL9" s="2" t="s">
        <v>145</v>
      </c>
      <c r="AM9" s="2" t="s">
        <v>62</v>
      </c>
      <c r="AN9" s="2" t="s">
        <v>146</v>
      </c>
      <c r="AO9" s="2"/>
      <c r="AP9" s="2" t="s">
        <v>147</v>
      </c>
      <c r="AQ9" s="2" t="s">
        <v>148</v>
      </c>
      <c r="AR9" s="2" t="s">
        <v>149</v>
      </c>
      <c r="AS9" s="2" t="s">
        <v>150</v>
      </c>
      <c r="AT9" s="2"/>
      <c r="AU9" s="2" t="s">
        <v>151</v>
      </c>
      <c r="AV9" s="2" t="s">
        <v>152</v>
      </c>
      <c r="AW9" s="2" t="s">
        <v>88</v>
      </c>
      <c r="AX9" s="2" t="s">
        <v>160</v>
      </c>
      <c r="AY9" s="2" t="s">
        <v>153</v>
      </c>
      <c r="AZ9" s="2" t="s">
        <v>161</v>
      </c>
      <c r="BA9" s="2" t="s">
        <v>160</v>
      </c>
      <c r="BB9" s="2" t="s">
        <v>69</v>
      </c>
      <c r="BC9" s="2" t="s">
        <v>155</v>
      </c>
      <c r="BD9" s="2"/>
      <c r="BE9" s="2"/>
      <c r="BF9" s="2"/>
      <c r="BG9" s="2" t="s">
        <v>90</v>
      </c>
    </row>
    <row r="10" spans="1:59" ht="29.5" x14ac:dyDescent="0.4">
      <c r="A10" s="3" t="s">
        <v>735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60</v>
      </c>
      <c r="G10" s="2"/>
      <c r="H10" s="2"/>
      <c r="I10" s="2"/>
      <c r="J10" s="2"/>
      <c r="K10" s="2"/>
      <c r="L10" s="2"/>
      <c r="M10" s="2"/>
      <c r="N10" s="2"/>
      <c r="O10" s="2" t="s">
        <v>62</v>
      </c>
      <c r="P10" s="2" t="s">
        <v>63</v>
      </c>
      <c r="Q10" s="2"/>
      <c r="R10" s="2"/>
      <c r="S10" s="2"/>
      <c r="T10" s="2" t="s">
        <v>64</v>
      </c>
      <c r="U10" s="2" t="s">
        <v>65</v>
      </c>
      <c r="V10" s="2" t="s">
        <v>66</v>
      </c>
      <c r="W10" s="2" t="s">
        <v>66</v>
      </c>
      <c r="X10" s="2" t="s">
        <v>65</v>
      </c>
      <c r="Y10" s="2" t="s">
        <v>67</v>
      </c>
      <c r="Z10" s="2" t="s">
        <v>68</v>
      </c>
      <c r="AA10" s="2" t="s">
        <v>162</v>
      </c>
      <c r="AB10" s="2" t="s">
        <v>70</v>
      </c>
      <c r="AC10" s="2" t="s">
        <v>71</v>
      </c>
      <c r="AD10" s="2" t="s">
        <v>72</v>
      </c>
      <c r="AE10" s="2"/>
      <c r="AF10" s="2"/>
      <c r="AG10" s="2"/>
      <c r="AH10" s="2" t="s">
        <v>91</v>
      </c>
      <c r="AI10" s="2" t="s">
        <v>74</v>
      </c>
      <c r="AJ10" s="2" t="s">
        <v>163</v>
      </c>
      <c r="AK10" s="2" t="s">
        <v>77</v>
      </c>
      <c r="AL10" s="2" t="s">
        <v>164</v>
      </c>
      <c r="AM10" s="2" t="s">
        <v>165</v>
      </c>
      <c r="AN10" s="2" t="s">
        <v>166</v>
      </c>
      <c r="AO10" s="2"/>
      <c r="AP10" s="2" t="s">
        <v>167</v>
      </c>
      <c r="AQ10" s="2" t="s">
        <v>168</v>
      </c>
      <c r="AR10" s="2" t="s">
        <v>169</v>
      </c>
      <c r="AS10" s="2" t="s">
        <v>170</v>
      </c>
      <c r="AT10" s="2"/>
      <c r="AU10" s="2" t="s">
        <v>171</v>
      </c>
      <c r="AV10" s="2" t="s">
        <v>172</v>
      </c>
      <c r="AW10" s="2" t="s">
        <v>73</v>
      </c>
      <c r="AX10" s="2" t="s">
        <v>173</v>
      </c>
      <c r="AY10" s="2"/>
      <c r="AZ10" s="2" t="s">
        <v>174</v>
      </c>
      <c r="BA10" s="2" t="s">
        <v>175</v>
      </c>
      <c r="BB10" s="2" t="s">
        <v>176</v>
      </c>
      <c r="BC10" s="2" t="s">
        <v>177</v>
      </c>
      <c r="BD10" s="2"/>
      <c r="BE10" s="2"/>
      <c r="BF10" s="2"/>
      <c r="BG10" s="2" t="s">
        <v>90</v>
      </c>
    </row>
    <row r="11" spans="1:59" ht="29.5" x14ac:dyDescent="0.4">
      <c r="A11" s="3" t="s">
        <v>735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60</v>
      </c>
      <c r="G11" s="2"/>
      <c r="H11" s="2"/>
      <c r="I11" s="2"/>
      <c r="J11" s="2"/>
      <c r="K11" s="2"/>
      <c r="L11" s="2"/>
      <c r="M11" s="2"/>
      <c r="N11" s="2"/>
      <c r="O11" s="2" t="s">
        <v>62</v>
      </c>
      <c r="P11" s="2" t="s">
        <v>63</v>
      </c>
      <c r="Q11" s="2"/>
      <c r="R11" s="2"/>
      <c r="S11" s="2"/>
      <c r="T11" s="2" t="s">
        <v>64</v>
      </c>
      <c r="U11" s="2" t="s">
        <v>65</v>
      </c>
      <c r="V11" s="2" t="s">
        <v>66</v>
      </c>
      <c r="W11" s="2" t="s">
        <v>66</v>
      </c>
      <c r="X11" s="2" t="s">
        <v>65</v>
      </c>
      <c r="Y11" s="2" t="s">
        <v>67</v>
      </c>
      <c r="Z11" s="2" t="s">
        <v>68</v>
      </c>
      <c r="AA11" s="2" t="s">
        <v>178</v>
      </c>
      <c r="AB11" s="2" t="s">
        <v>70</v>
      </c>
      <c r="AC11" s="2" t="s">
        <v>71</v>
      </c>
      <c r="AD11" s="2" t="s">
        <v>72</v>
      </c>
      <c r="AE11" s="2"/>
      <c r="AF11" s="2"/>
      <c r="AG11" s="2"/>
      <c r="AH11" s="2" t="s">
        <v>91</v>
      </c>
      <c r="AI11" s="2" t="s">
        <v>74</v>
      </c>
      <c r="AJ11" s="2" t="s">
        <v>179</v>
      </c>
      <c r="AK11" s="2" t="s">
        <v>77</v>
      </c>
      <c r="AL11" s="2" t="s">
        <v>180</v>
      </c>
      <c r="AM11" s="2" t="s">
        <v>181</v>
      </c>
      <c r="AN11" s="2" t="s">
        <v>166</v>
      </c>
      <c r="AO11" s="2"/>
      <c r="AP11" s="2" t="s">
        <v>182</v>
      </c>
      <c r="AQ11" s="2" t="s">
        <v>168</v>
      </c>
      <c r="AR11" s="2" t="s">
        <v>169</v>
      </c>
      <c r="AS11" s="2" t="s">
        <v>183</v>
      </c>
      <c r="AT11" s="2"/>
      <c r="AU11" s="2" t="s">
        <v>171</v>
      </c>
      <c r="AV11" s="2" t="s">
        <v>172</v>
      </c>
      <c r="AW11" s="2" t="s">
        <v>73</v>
      </c>
      <c r="AX11" s="2" t="s">
        <v>173</v>
      </c>
      <c r="AY11" s="2"/>
      <c r="AZ11" s="2" t="s">
        <v>174</v>
      </c>
      <c r="BA11" s="2" t="s">
        <v>175</v>
      </c>
      <c r="BB11" s="2" t="s">
        <v>176</v>
      </c>
      <c r="BC11" s="2" t="s">
        <v>177</v>
      </c>
      <c r="BD11" s="2"/>
      <c r="BE11" s="2"/>
      <c r="BF11" s="2"/>
      <c r="BG11" s="2" t="s">
        <v>90</v>
      </c>
    </row>
    <row r="12" spans="1:59" ht="29.5" x14ac:dyDescent="0.4">
      <c r="A12" s="3" t="s">
        <v>735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60</v>
      </c>
      <c r="G12" s="2"/>
      <c r="H12" s="2"/>
      <c r="I12" s="2"/>
      <c r="J12" s="2"/>
      <c r="K12" s="2"/>
      <c r="L12" s="2"/>
      <c r="M12" s="2"/>
      <c r="N12" s="2"/>
      <c r="O12" s="2" t="s">
        <v>62</v>
      </c>
      <c r="P12" s="2" t="s">
        <v>63</v>
      </c>
      <c r="Q12" s="2"/>
      <c r="R12" s="2"/>
      <c r="S12" s="2"/>
      <c r="T12" s="2" t="s">
        <v>64</v>
      </c>
      <c r="U12" s="2" t="s">
        <v>65</v>
      </c>
      <c r="V12" s="2" t="s">
        <v>66</v>
      </c>
      <c r="W12" s="2" t="s">
        <v>66</v>
      </c>
      <c r="X12" s="2" t="s">
        <v>65</v>
      </c>
      <c r="Y12" s="2" t="s">
        <v>184</v>
      </c>
      <c r="Z12" s="2" t="s">
        <v>185</v>
      </c>
      <c r="AA12" s="2" t="s">
        <v>73</v>
      </c>
      <c r="AB12" s="2" t="s">
        <v>70</v>
      </c>
      <c r="AC12" s="2" t="s">
        <v>71</v>
      </c>
      <c r="AD12" s="2" t="s">
        <v>72</v>
      </c>
      <c r="AE12" s="2"/>
      <c r="AF12" s="2"/>
      <c r="AG12" s="2"/>
      <c r="AH12" s="2" t="s">
        <v>73</v>
      </c>
      <c r="AI12" s="2" t="s">
        <v>74</v>
      </c>
      <c r="AJ12" s="2" t="s">
        <v>186</v>
      </c>
      <c r="AK12" s="2" t="s">
        <v>187</v>
      </c>
      <c r="AL12" s="2" t="s">
        <v>188</v>
      </c>
      <c r="AM12" s="2" t="s">
        <v>189</v>
      </c>
      <c r="AN12" s="2" t="s">
        <v>190</v>
      </c>
      <c r="AO12" s="2"/>
      <c r="AP12" s="2" t="s">
        <v>191</v>
      </c>
      <c r="AQ12" s="2" t="s">
        <v>192</v>
      </c>
      <c r="AR12" s="2" t="s">
        <v>193</v>
      </c>
      <c r="AS12" s="2" t="s">
        <v>194</v>
      </c>
      <c r="AT12" s="2"/>
      <c r="AU12" s="2" t="s">
        <v>195</v>
      </c>
      <c r="AV12" s="2" t="s">
        <v>88</v>
      </c>
      <c r="AW12" s="2" t="s">
        <v>73</v>
      </c>
      <c r="AX12" s="2" t="s">
        <v>196</v>
      </c>
      <c r="AY12" s="2"/>
      <c r="AZ12" s="2" t="s">
        <v>197</v>
      </c>
      <c r="BA12" s="2" t="s">
        <v>198</v>
      </c>
      <c r="BB12" s="2" t="s">
        <v>91</v>
      </c>
      <c r="BC12" s="2" t="s">
        <v>199</v>
      </c>
      <c r="BD12" s="2"/>
      <c r="BE12" s="2"/>
      <c r="BF12" s="2"/>
      <c r="BG12" s="2" t="s">
        <v>90</v>
      </c>
    </row>
    <row r="13" spans="1:59" ht="29.5" x14ac:dyDescent="0.4">
      <c r="A13" s="3" t="s">
        <v>736</v>
      </c>
      <c r="B13" s="2" t="s">
        <v>200</v>
      </c>
      <c r="C13" s="2" t="s">
        <v>59</v>
      </c>
      <c r="D13" s="2" t="s">
        <v>201</v>
      </c>
      <c r="E13" s="2" t="s">
        <v>202</v>
      </c>
      <c r="F13" s="2" t="s">
        <v>201</v>
      </c>
      <c r="G13" s="2"/>
      <c r="H13" s="2"/>
      <c r="I13" s="2"/>
      <c r="J13" s="2"/>
      <c r="K13" s="2"/>
      <c r="L13" s="2"/>
      <c r="M13" s="2"/>
      <c r="N13" s="2"/>
      <c r="O13" s="2" t="s">
        <v>203</v>
      </c>
      <c r="P13" s="2" t="s">
        <v>63</v>
      </c>
      <c r="Q13" s="2"/>
      <c r="R13" s="2"/>
      <c r="S13" s="2"/>
      <c r="T13" s="2" t="s">
        <v>204</v>
      </c>
      <c r="U13" s="2" t="s">
        <v>65</v>
      </c>
      <c r="V13" s="2" t="s">
        <v>66</v>
      </c>
      <c r="W13" s="2" t="s">
        <v>66</v>
      </c>
      <c r="X13" s="2" t="s">
        <v>65</v>
      </c>
      <c r="Y13" s="2" t="s">
        <v>67</v>
      </c>
      <c r="Z13" s="2" t="s">
        <v>68</v>
      </c>
      <c r="AA13" s="2" t="s">
        <v>73</v>
      </c>
      <c r="AB13" s="2" t="s">
        <v>70</v>
      </c>
      <c r="AC13" s="2" t="s">
        <v>71</v>
      </c>
      <c r="AD13" s="2" t="s">
        <v>72</v>
      </c>
      <c r="AE13" s="2"/>
      <c r="AF13" s="2"/>
      <c r="AG13" s="2"/>
      <c r="AH13" s="2" t="s">
        <v>88</v>
      </c>
      <c r="AI13" s="2" t="s">
        <v>205</v>
      </c>
      <c r="AJ13" s="2" t="s">
        <v>206</v>
      </c>
      <c r="AK13" s="2" t="s">
        <v>203</v>
      </c>
      <c r="AL13" s="2" t="s">
        <v>207</v>
      </c>
      <c r="AM13" s="2" t="s">
        <v>77</v>
      </c>
      <c r="AN13" s="2" t="s">
        <v>208</v>
      </c>
      <c r="AO13" s="2"/>
      <c r="AP13" s="2"/>
      <c r="AQ13" s="2" t="s">
        <v>133</v>
      </c>
      <c r="AR13" s="2" t="s">
        <v>134</v>
      </c>
      <c r="AS13" s="2"/>
      <c r="AT13" s="2"/>
      <c r="AU13" s="2" t="s">
        <v>209</v>
      </c>
      <c r="AV13" s="2" t="s">
        <v>210</v>
      </c>
      <c r="AW13" s="2" t="s">
        <v>73</v>
      </c>
      <c r="AX13" s="2" t="s">
        <v>211</v>
      </c>
      <c r="AY13" s="2"/>
      <c r="AZ13" s="2" t="s">
        <v>139</v>
      </c>
      <c r="BA13" s="2" t="s">
        <v>140</v>
      </c>
      <c r="BB13" s="2" t="s">
        <v>212</v>
      </c>
      <c r="BC13" s="2" t="s">
        <v>213</v>
      </c>
      <c r="BD13" s="2"/>
      <c r="BE13" s="2"/>
      <c r="BF13" s="2"/>
      <c r="BG13" s="2" t="s">
        <v>90</v>
      </c>
    </row>
    <row r="14" spans="1:59" ht="29.5" x14ac:dyDescent="0.4">
      <c r="A14" s="3" t="s">
        <v>736</v>
      </c>
      <c r="B14" s="2" t="s">
        <v>200</v>
      </c>
      <c r="C14" s="2" t="s">
        <v>59</v>
      </c>
      <c r="D14" s="2" t="s">
        <v>201</v>
      </c>
      <c r="E14" s="2" t="s">
        <v>202</v>
      </c>
      <c r="F14" s="2" t="s">
        <v>201</v>
      </c>
      <c r="G14" s="2"/>
      <c r="H14" s="2"/>
      <c r="I14" s="2"/>
      <c r="J14" s="2"/>
      <c r="K14" s="2"/>
      <c r="L14" s="2"/>
      <c r="M14" s="2"/>
      <c r="N14" s="2"/>
      <c r="O14" s="2" t="s">
        <v>203</v>
      </c>
      <c r="P14" s="2" t="s">
        <v>63</v>
      </c>
      <c r="Q14" s="2"/>
      <c r="R14" s="2"/>
      <c r="S14" s="2"/>
      <c r="T14" s="2" t="s">
        <v>204</v>
      </c>
      <c r="U14" s="2" t="s">
        <v>65</v>
      </c>
      <c r="V14" s="2" t="s">
        <v>66</v>
      </c>
      <c r="W14" s="2" t="s">
        <v>66</v>
      </c>
      <c r="X14" s="2" t="s">
        <v>65</v>
      </c>
      <c r="Y14" s="2" t="s">
        <v>67</v>
      </c>
      <c r="Z14" s="2" t="s">
        <v>68</v>
      </c>
      <c r="AA14" s="2" t="s">
        <v>73</v>
      </c>
      <c r="AB14" s="2" t="s">
        <v>70</v>
      </c>
      <c r="AC14" s="2" t="s">
        <v>71</v>
      </c>
      <c r="AD14" s="2" t="s">
        <v>72</v>
      </c>
      <c r="AE14" s="2"/>
      <c r="AF14" s="2"/>
      <c r="AG14" s="2"/>
      <c r="AH14" s="2" t="s">
        <v>88</v>
      </c>
      <c r="AI14" s="2" t="s">
        <v>205</v>
      </c>
      <c r="AJ14" s="2" t="s">
        <v>206</v>
      </c>
      <c r="AK14" s="2" t="s">
        <v>203</v>
      </c>
      <c r="AL14" s="2" t="s">
        <v>207</v>
      </c>
      <c r="AM14" s="2" t="s">
        <v>77</v>
      </c>
      <c r="AN14" s="2" t="s">
        <v>208</v>
      </c>
      <c r="AO14" s="2"/>
      <c r="AP14" s="2"/>
      <c r="AQ14" s="2" t="s">
        <v>133</v>
      </c>
      <c r="AR14" s="2" t="s">
        <v>134</v>
      </c>
      <c r="AS14" s="2"/>
      <c r="AT14" s="2"/>
      <c r="AU14" s="2" t="s">
        <v>209</v>
      </c>
      <c r="AV14" s="2" t="s">
        <v>210</v>
      </c>
      <c r="AW14" s="2" t="s">
        <v>91</v>
      </c>
      <c r="AX14" s="2" t="s">
        <v>211</v>
      </c>
      <c r="AY14" s="2"/>
      <c r="AZ14" s="2" t="s">
        <v>139</v>
      </c>
      <c r="BA14" s="2" t="s">
        <v>140</v>
      </c>
      <c r="BB14" s="2" t="s">
        <v>212</v>
      </c>
      <c r="BC14" s="2" t="s">
        <v>213</v>
      </c>
      <c r="BD14" s="2"/>
      <c r="BE14" s="2"/>
      <c r="BF14" s="2"/>
      <c r="BG14" s="2" t="s">
        <v>90</v>
      </c>
    </row>
    <row r="15" spans="1:59" ht="29.5" x14ac:dyDescent="0.4">
      <c r="A15" s="3" t="s">
        <v>736</v>
      </c>
      <c r="B15" s="2" t="s">
        <v>200</v>
      </c>
      <c r="C15" s="2" t="s">
        <v>59</v>
      </c>
      <c r="D15" s="2" t="s">
        <v>201</v>
      </c>
      <c r="E15" s="2" t="s">
        <v>202</v>
      </c>
      <c r="F15" s="2" t="s">
        <v>201</v>
      </c>
      <c r="G15" s="2"/>
      <c r="H15" s="2"/>
      <c r="I15" s="2"/>
      <c r="J15" s="2"/>
      <c r="K15" s="2"/>
      <c r="L15" s="2"/>
      <c r="M15" s="2"/>
      <c r="N15" s="2"/>
      <c r="O15" s="2" t="s">
        <v>203</v>
      </c>
      <c r="P15" s="2" t="s">
        <v>63</v>
      </c>
      <c r="Q15" s="2"/>
      <c r="R15" s="2"/>
      <c r="S15" s="2"/>
      <c r="T15" s="2" t="s">
        <v>204</v>
      </c>
      <c r="U15" s="2" t="s">
        <v>65</v>
      </c>
      <c r="V15" s="2" t="s">
        <v>66</v>
      </c>
      <c r="W15" s="2" t="s">
        <v>66</v>
      </c>
      <c r="X15" s="2" t="s">
        <v>65</v>
      </c>
      <c r="Y15" s="2" t="s">
        <v>67</v>
      </c>
      <c r="Z15" s="2" t="s">
        <v>68</v>
      </c>
      <c r="AA15" s="2" t="s">
        <v>73</v>
      </c>
      <c r="AB15" s="2" t="s">
        <v>70</v>
      </c>
      <c r="AC15" s="2" t="s">
        <v>71</v>
      </c>
      <c r="AD15" s="2" t="s">
        <v>72</v>
      </c>
      <c r="AE15" s="2"/>
      <c r="AF15" s="2"/>
      <c r="AG15" s="2"/>
      <c r="AH15" s="2" t="s">
        <v>88</v>
      </c>
      <c r="AI15" s="2" t="s">
        <v>205</v>
      </c>
      <c r="AJ15" s="2" t="s">
        <v>206</v>
      </c>
      <c r="AK15" s="2" t="s">
        <v>203</v>
      </c>
      <c r="AL15" s="2" t="s">
        <v>207</v>
      </c>
      <c r="AM15" s="2" t="s">
        <v>77</v>
      </c>
      <c r="AN15" s="2" t="s">
        <v>208</v>
      </c>
      <c r="AO15" s="2"/>
      <c r="AP15" s="2"/>
      <c r="AQ15" s="2" t="s">
        <v>133</v>
      </c>
      <c r="AR15" s="2" t="s">
        <v>134</v>
      </c>
      <c r="AS15" s="2"/>
      <c r="AT15" s="2"/>
      <c r="AU15" s="2" t="s">
        <v>209</v>
      </c>
      <c r="AV15" s="2" t="s">
        <v>210</v>
      </c>
      <c r="AW15" s="2" t="s">
        <v>88</v>
      </c>
      <c r="AX15" s="2" t="s">
        <v>211</v>
      </c>
      <c r="AY15" s="2"/>
      <c r="AZ15" s="2" t="s">
        <v>139</v>
      </c>
      <c r="BA15" s="2" t="s">
        <v>140</v>
      </c>
      <c r="BB15" s="2" t="s">
        <v>212</v>
      </c>
      <c r="BC15" s="2" t="s">
        <v>213</v>
      </c>
      <c r="BD15" s="2"/>
      <c r="BE15" s="2"/>
      <c r="BF15" s="2"/>
      <c r="BG15" s="2" t="s">
        <v>90</v>
      </c>
    </row>
    <row r="16" spans="1:59" ht="29.5" x14ac:dyDescent="0.4">
      <c r="A16" s="3" t="s">
        <v>736</v>
      </c>
      <c r="B16" s="2" t="s">
        <v>200</v>
      </c>
      <c r="C16" s="2" t="s">
        <v>59</v>
      </c>
      <c r="D16" s="2" t="s">
        <v>201</v>
      </c>
      <c r="E16" s="2" t="s">
        <v>202</v>
      </c>
      <c r="F16" s="2" t="s">
        <v>201</v>
      </c>
      <c r="G16" s="2"/>
      <c r="H16" s="2"/>
      <c r="I16" s="2"/>
      <c r="J16" s="2"/>
      <c r="K16" s="2"/>
      <c r="L16" s="2"/>
      <c r="M16" s="2"/>
      <c r="N16" s="2"/>
      <c r="O16" s="2" t="s">
        <v>203</v>
      </c>
      <c r="P16" s="2" t="s">
        <v>63</v>
      </c>
      <c r="Q16" s="2"/>
      <c r="R16" s="2"/>
      <c r="S16" s="2"/>
      <c r="T16" s="2" t="s">
        <v>204</v>
      </c>
      <c r="U16" s="2" t="s">
        <v>65</v>
      </c>
      <c r="V16" s="2" t="s">
        <v>66</v>
      </c>
      <c r="W16" s="2" t="s">
        <v>66</v>
      </c>
      <c r="X16" s="2" t="s">
        <v>65</v>
      </c>
      <c r="Y16" s="2" t="s">
        <v>67</v>
      </c>
      <c r="Z16" s="2" t="s">
        <v>68</v>
      </c>
      <c r="AA16" s="2" t="s">
        <v>73</v>
      </c>
      <c r="AB16" s="2" t="s">
        <v>70</v>
      </c>
      <c r="AC16" s="2" t="s">
        <v>71</v>
      </c>
      <c r="AD16" s="2" t="s">
        <v>72</v>
      </c>
      <c r="AE16" s="2"/>
      <c r="AF16" s="2"/>
      <c r="AG16" s="2"/>
      <c r="AH16" s="2" t="s">
        <v>214</v>
      </c>
      <c r="AI16" s="2" t="s">
        <v>205</v>
      </c>
      <c r="AJ16" s="2" t="s">
        <v>215</v>
      </c>
      <c r="AK16" s="2" t="s">
        <v>203</v>
      </c>
      <c r="AL16" s="2" t="s">
        <v>216</v>
      </c>
      <c r="AM16" s="2" t="s">
        <v>203</v>
      </c>
      <c r="AN16" s="2" t="s">
        <v>217</v>
      </c>
      <c r="AO16" s="2"/>
      <c r="AP16" s="2"/>
      <c r="AQ16" s="2" t="s">
        <v>218</v>
      </c>
      <c r="AR16" s="2" t="s">
        <v>219</v>
      </c>
      <c r="AS16" s="2" t="s">
        <v>220</v>
      </c>
      <c r="AT16" s="2"/>
      <c r="AU16" s="2" t="s">
        <v>221</v>
      </c>
      <c r="AV16" s="2" t="s">
        <v>222</v>
      </c>
      <c r="AW16" s="2" t="s">
        <v>73</v>
      </c>
      <c r="AX16" s="2" t="s">
        <v>153</v>
      </c>
      <c r="AY16" s="2" t="s">
        <v>153</v>
      </c>
      <c r="AZ16" s="2" t="s">
        <v>154</v>
      </c>
      <c r="BA16" s="2" t="s">
        <v>153</v>
      </c>
      <c r="BB16" s="2" t="s">
        <v>214</v>
      </c>
      <c r="BC16" s="2" t="s">
        <v>223</v>
      </c>
      <c r="BD16" s="2"/>
      <c r="BE16" s="2"/>
      <c r="BF16" s="2"/>
      <c r="BG16" s="2" t="s">
        <v>90</v>
      </c>
    </row>
    <row r="17" spans="1:59" ht="29.5" x14ac:dyDescent="0.4">
      <c r="A17" s="3" t="s">
        <v>736</v>
      </c>
      <c r="B17" s="2" t="s">
        <v>200</v>
      </c>
      <c r="C17" s="2" t="s">
        <v>59</v>
      </c>
      <c r="D17" s="2" t="s">
        <v>201</v>
      </c>
      <c r="E17" s="2" t="s">
        <v>202</v>
      </c>
      <c r="F17" s="2" t="s">
        <v>201</v>
      </c>
      <c r="G17" s="2"/>
      <c r="H17" s="2"/>
      <c r="I17" s="2"/>
      <c r="J17" s="2"/>
      <c r="K17" s="2"/>
      <c r="L17" s="2"/>
      <c r="M17" s="2"/>
      <c r="N17" s="2"/>
      <c r="O17" s="2" t="s">
        <v>203</v>
      </c>
      <c r="P17" s="2" t="s">
        <v>63</v>
      </c>
      <c r="Q17" s="2"/>
      <c r="R17" s="2"/>
      <c r="S17" s="2"/>
      <c r="T17" s="2" t="s">
        <v>204</v>
      </c>
      <c r="U17" s="2" t="s">
        <v>65</v>
      </c>
      <c r="V17" s="2" t="s">
        <v>66</v>
      </c>
      <c r="W17" s="2" t="s">
        <v>66</v>
      </c>
      <c r="X17" s="2" t="s">
        <v>65</v>
      </c>
      <c r="Y17" s="2" t="s">
        <v>67</v>
      </c>
      <c r="Z17" s="2" t="s">
        <v>68</v>
      </c>
      <c r="AA17" s="2" t="s">
        <v>73</v>
      </c>
      <c r="AB17" s="2" t="s">
        <v>70</v>
      </c>
      <c r="AC17" s="2" t="s">
        <v>71</v>
      </c>
      <c r="AD17" s="2" t="s">
        <v>72</v>
      </c>
      <c r="AE17" s="2"/>
      <c r="AF17" s="2"/>
      <c r="AG17" s="2"/>
      <c r="AH17" s="2" t="s">
        <v>214</v>
      </c>
      <c r="AI17" s="2" t="s">
        <v>205</v>
      </c>
      <c r="AJ17" s="2" t="s">
        <v>215</v>
      </c>
      <c r="AK17" s="2" t="s">
        <v>203</v>
      </c>
      <c r="AL17" s="2" t="s">
        <v>216</v>
      </c>
      <c r="AM17" s="2" t="s">
        <v>203</v>
      </c>
      <c r="AN17" s="2" t="s">
        <v>217</v>
      </c>
      <c r="AO17" s="2"/>
      <c r="AP17" s="2"/>
      <c r="AQ17" s="2" t="s">
        <v>218</v>
      </c>
      <c r="AR17" s="2" t="s">
        <v>219</v>
      </c>
      <c r="AS17" s="2" t="s">
        <v>220</v>
      </c>
      <c r="AT17" s="2"/>
      <c r="AU17" s="2" t="s">
        <v>221</v>
      </c>
      <c r="AV17" s="2" t="s">
        <v>222</v>
      </c>
      <c r="AW17" s="2" t="s">
        <v>91</v>
      </c>
      <c r="AX17" s="2" t="s">
        <v>224</v>
      </c>
      <c r="AY17" s="2"/>
      <c r="AZ17" s="2" t="s">
        <v>161</v>
      </c>
      <c r="BA17" s="2" t="s">
        <v>225</v>
      </c>
      <c r="BB17" s="2" t="s">
        <v>226</v>
      </c>
      <c r="BC17" s="2" t="s">
        <v>227</v>
      </c>
      <c r="BD17" s="2"/>
      <c r="BE17" s="2"/>
      <c r="BF17" s="2"/>
      <c r="BG17" s="2" t="s">
        <v>90</v>
      </c>
    </row>
    <row r="18" spans="1:59" ht="29.5" x14ac:dyDescent="0.4">
      <c r="A18" s="3" t="s">
        <v>736</v>
      </c>
      <c r="B18" s="2" t="s">
        <v>200</v>
      </c>
      <c r="C18" s="2" t="s">
        <v>59</v>
      </c>
      <c r="D18" s="2" t="s">
        <v>201</v>
      </c>
      <c r="E18" s="2" t="s">
        <v>202</v>
      </c>
      <c r="F18" s="2" t="s">
        <v>201</v>
      </c>
      <c r="G18" s="2"/>
      <c r="H18" s="2"/>
      <c r="I18" s="2"/>
      <c r="J18" s="2"/>
      <c r="K18" s="2"/>
      <c r="L18" s="2"/>
      <c r="M18" s="2"/>
      <c r="N18" s="2"/>
      <c r="O18" s="2" t="s">
        <v>203</v>
      </c>
      <c r="P18" s="2" t="s">
        <v>63</v>
      </c>
      <c r="Q18" s="2"/>
      <c r="R18" s="2"/>
      <c r="S18" s="2"/>
      <c r="T18" s="2" t="s">
        <v>204</v>
      </c>
      <c r="U18" s="2" t="s">
        <v>65</v>
      </c>
      <c r="V18" s="2" t="s">
        <v>66</v>
      </c>
      <c r="W18" s="2" t="s">
        <v>66</v>
      </c>
      <c r="X18" s="2" t="s">
        <v>65</v>
      </c>
      <c r="Y18" s="2" t="s">
        <v>67</v>
      </c>
      <c r="Z18" s="2" t="s">
        <v>68</v>
      </c>
      <c r="AA18" s="2" t="s">
        <v>73</v>
      </c>
      <c r="AB18" s="2" t="s">
        <v>70</v>
      </c>
      <c r="AC18" s="2" t="s">
        <v>71</v>
      </c>
      <c r="AD18" s="2" t="s">
        <v>72</v>
      </c>
      <c r="AE18" s="2"/>
      <c r="AF18" s="2"/>
      <c r="AG18" s="2"/>
      <c r="AH18" s="2" t="s">
        <v>214</v>
      </c>
      <c r="AI18" s="2" t="s">
        <v>205</v>
      </c>
      <c r="AJ18" s="2" t="s">
        <v>215</v>
      </c>
      <c r="AK18" s="2" t="s">
        <v>203</v>
      </c>
      <c r="AL18" s="2" t="s">
        <v>216</v>
      </c>
      <c r="AM18" s="2" t="s">
        <v>203</v>
      </c>
      <c r="AN18" s="2" t="s">
        <v>217</v>
      </c>
      <c r="AO18" s="2"/>
      <c r="AP18" s="2"/>
      <c r="AQ18" s="2" t="s">
        <v>218</v>
      </c>
      <c r="AR18" s="2" t="s">
        <v>219</v>
      </c>
      <c r="AS18" s="2" t="s">
        <v>220</v>
      </c>
      <c r="AT18" s="2"/>
      <c r="AU18" s="2" t="s">
        <v>221</v>
      </c>
      <c r="AV18" s="2" t="s">
        <v>222</v>
      </c>
      <c r="AW18" s="2" t="s">
        <v>88</v>
      </c>
      <c r="AX18" s="2" t="s">
        <v>160</v>
      </c>
      <c r="AY18" s="2" t="s">
        <v>153</v>
      </c>
      <c r="AZ18" s="2" t="s">
        <v>161</v>
      </c>
      <c r="BA18" s="2" t="s">
        <v>160</v>
      </c>
      <c r="BB18" s="2" t="s">
        <v>214</v>
      </c>
      <c r="BC18" s="2" t="s">
        <v>223</v>
      </c>
      <c r="BD18" s="2"/>
      <c r="BE18" s="2"/>
      <c r="BF18" s="2"/>
      <c r="BG18" s="2" t="s">
        <v>90</v>
      </c>
    </row>
    <row r="19" spans="1:59" ht="29.5" x14ac:dyDescent="0.4">
      <c r="A19" s="3" t="s">
        <v>736</v>
      </c>
      <c r="B19" s="2" t="s">
        <v>200</v>
      </c>
      <c r="C19" s="2" t="s">
        <v>59</v>
      </c>
      <c r="D19" s="2" t="s">
        <v>201</v>
      </c>
      <c r="E19" s="2" t="s">
        <v>202</v>
      </c>
      <c r="F19" s="2" t="s">
        <v>201</v>
      </c>
      <c r="G19" s="2"/>
      <c r="H19" s="2"/>
      <c r="I19" s="2"/>
      <c r="J19" s="2"/>
      <c r="K19" s="2"/>
      <c r="L19" s="2"/>
      <c r="M19" s="2"/>
      <c r="N19" s="2"/>
      <c r="O19" s="2" t="s">
        <v>203</v>
      </c>
      <c r="P19" s="2" t="s">
        <v>63</v>
      </c>
      <c r="Q19" s="2"/>
      <c r="R19" s="2"/>
      <c r="S19" s="2"/>
      <c r="T19" s="2" t="s">
        <v>204</v>
      </c>
      <c r="U19" s="2" t="s">
        <v>65</v>
      </c>
      <c r="V19" s="2" t="s">
        <v>66</v>
      </c>
      <c r="W19" s="2" t="s">
        <v>66</v>
      </c>
      <c r="X19" s="2" t="s">
        <v>65</v>
      </c>
      <c r="Y19" s="2" t="s">
        <v>67</v>
      </c>
      <c r="Z19" s="2" t="s">
        <v>68</v>
      </c>
      <c r="AA19" s="2" t="s">
        <v>73</v>
      </c>
      <c r="AB19" s="2" t="s">
        <v>70</v>
      </c>
      <c r="AC19" s="2" t="s">
        <v>71</v>
      </c>
      <c r="AD19" s="2" t="s">
        <v>72</v>
      </c>
      <c r="AE19" s="2"/>
      <c r="AF19" s="2"/>
      <c r="AG19" s="2"/>
      <c r="AH19" s="2" t="s">
        <v>73</v>
      </c>
      <c r="AI19" s="2" t="s">
        <v>205</v>
      </c>
      <c r="AJ19" s="2" t="s">
        <v>228</v>
      </c>
      <c r="AK19" s="2" t="s">
        <v>203</v>
      </c>
      <c r="AL19" s="2" t="s">
        <v>229</v>
      </c>
      <c r="AM19" s="2" t="s">
        <v>117</v>
      </c>
      <c r="AN19" s="2" t="s">
        <v>230</v>
      </c>
      <c r="AO19" s="2"/>
      <c r="AP19" s="2"/>
      <c r="AQ19" s="2" t="s">
        <v>231</v>
      </c>
      <c r="AR19" s="2" t="s">
        <v>232</v>
      </c>
      <c r="AS19" s="2" t="s">
        <v>229</v>
      </c>
      <c r="AT19" s="2"/>
      <c r="AU19" s="2" t="s">
        <v>233</v>
      </c>
      <c r="AV19" s="2" t="s">
        <v>234</v>
      </c>
      <c r="AW19" s="2" t="s">
        <v>73</v>
      </c>
      <c r="AX19" s="2" t="s">
        <v>235</v>
      </c>
      <c r="AY19" s="2"/>
      <c r="AZ19" s="2" t="s">
        <v>236</v>
      </c>
      <c r="BA19" s="2" t="s">
        <v>237</v>
      </c>
      <c r="BB19" s="2" t="s">
        <v>238</v>
      </c>
      <c r="BC19" s="2" t="s">
        <v>239</v>
      </c>
      <c r="BD19" s="2"/>
      <c r="BE19" s="2"/>
      <c r="BF19" s="2"/>
      <c r="BG19" s="2" t="s">
        <v>90</v>
      </c>
    </row>
    <row r="20" spans="1:59" ht="29.5" x14ac:dyDescent="0.4">
      <c r="A20" s="3" t="s">
        <v>737</v>
      </c>
      <c r="B20" s="2" t="s">
        <v>240</v>
      </c>
      <c r="C20" s="2" t="s">
        <v>59</v>
      </c>
      <c r="D20" s="2" t="s">
        <v>241</v>
      </c>
      <c r="E20" s="2" t="s">
        <v>242</v>
      </c>
      <c r="F20" s="2" t="s">
        <v>241</v>
      </c>
      <c r="G20" s="2"/>
      <c r="H20" s="2"/>
      <c r="I20" s="2"/>
      <c r="J20" s="2"/>
      <c r="K20" s="2"/>
      <c r="L20" s="2"/>
      <c r="M20" s="2"/>
      <c r="N20" s="2"/>
      <c r="O20" s="2" t="s">
        <v>243</v>
      </c>
      <c r="P20" s="2" t="s">
        <v>63</v>
      </c>
      <c r="Q20" s="2"/>
      <c r="R20" s="2"/>
      <c r="S20" s="2"/>
      <c r="T20" s="2" t="s">
        <v>244</v>
      </c>
      <c r="U20" s="2" t="s">
        <v>65</v>
      </c>
      <c r="V20" s="2" t="s">
        <v>66</v>
      </c>
      <c r="W20" s="2" t="s">
        <v>66</v>
      </c>
      <c r="X20" s="2" t="s">
        <v>65</v>
      </c>
      <c r="Y20" s="2" t="s">
        <v>245</v>
      </c>
      <c r="Z20" s="2" t="s">
        <v>246</v>
      </c>
      <c r="AA20" s="2" t="s">
        <v>73</v>
      </c>
      <c r="AB20" s="2" t="s">
        <v>70</v>
      </c>
      <c r="AC20" s="2" t="s">
        <v>71</v>
      </c>
      <c r="AD20" s="2" t="s">
        <v>72</v>
      </c>
      <c r="AE20" s="2"/>
      <c r="AF20" s="2"/>
      <c r="AG20" s="2"/>
      <c r="AH20" s="2" t="s">
        <v>73</v>
      </c>
      <c r="AI20" s="2" t="s">
        <v>247</v>
      </c>
      <c r="AJ20" s="2" t="s">
        <v>248</v>
      </c>
      <c r="AK20" s="2" t="s">
        <v>243</v>
      </c>
      <c r="AL20" s="2" t="s">
        <v>249</v>
      </c>
      <c r="AM20" s="2" t="s">
        <v>250</v>
      </c>
      <c r="AN20" s="2" t="s">
        <v>251</v>
      </c>
      <c r="AO20" s="2"/>
      <c r="AP20" s="2"/>
      <c r="AQ20" s="2" t="s">
        <v>133</v>
      </c>
      <c r="AR20" s="2" t="s">
        <v>134</v>
      </c>
      <c r="AS20" s="2" t="s">
        <v>252</v>
      </c>
      <c r="AT20" s="2"/>
      <c r="AU20" s="2" t="s">
        <v>253</v>
      </c>
      <c r="AV20" s="2" t="s">
        <v>254</v>
      </c>
      <c r="AW20" s="2" t="s">
        <v>73</v>
      </c>
      <c r="AX20" s="2" t="s">
        <v>255</v>
      </c>
      <c r="AY20" s="2"/>
      <c r="AZ20" s="2" t="s">
        <v>139</v>
      </c>
      <c r="BA20" s="2" t="s">
        <v>140</v>
      </c>
      <c r="BB20" s="2" t="s">
        <v>256</v>
      </c>
      <c r="BC20" s="2" t="s">
        <v>257</v>
      </c>
      <c r="BD20" s="2"/>
      <c r="BE20" s="2"/>
      <c r="BF20" s="2"/>
      <c r="BG20" s="2" t="s">
        <v>90</v>
      </c>
    </row>
    <row r="21" spans="1:59" ht="29.5" x14ac:dyDescent="0.4">
      <c r="A21" s="3" t="s">
        <v>737</v>
      </c>
      <c r="B21" s="2" t="s">
        <v>240</v>
      </c>
      <c r="C21" s="2" t="s">
        <v>59</v>
      </c>
      <c r="D21" s="2" t="s">
        <v>241</v>
      </c>
      <c r="E21" s="2" t="s">
        <v>242</v>
      </c>
      <c r="F21" s="2" t="s">
        <v>241</v>
      </c>
      <c r="G21" s="2"/>
      <c r="H21" s="2"/>
      <c r="I21" s="2"/>
      <c r="J21" s="2"/>
      <c r="K21" s="2"/>
      <c r="L21" s="2"/>
      <c r="M21" s="2"/>
      <c r="N21" s="2"/>
      <c r="O21" s="2" t="s">
        <v>243</v>
      </c>
      <c r="P21" s="2" t="s">
        <v>63</v>
      </c>
      <c r="Q21" s="2"/>
      <c r="R21" s="2"/>
      <c r="S21" s="2"/>
      <c r="T21" s="2" t="s">
        <v>244</v>
      </c>
      <c r="U21" s="2" t="s">
        <v>65</v>
      </c>
      <c r="V21" s="2" t="s">
        <v>66</v>
      </c>
      <c r="W21" s="2" t="s">
        <v>66</v>
      </c>
      <c r="X21" s="2" t="s">
        <v>65</v>
      </c>
      <c r="Y21" s="2" t="s">
        <v>245</v>
      </c>
      <c r="Z21" s="2" t="s">
        <v>246</v>
      </c>
      <c r="AA21" s="2" t="s">
        <v>73</v>
      </c>
      <c r="AB21" s="2" t="s">
        <v>70</v>
      </c>
      <c r="AC21" s="2" t="s">
        <v>71</v>
      </c>
      <c r="AD21" s="2" t="s">
        <v>72</v>
      </c>
      <c r="AE21" s="2"/>
      <c r="AF21" s="2"/>
      <c r="AG21" s="2"/>
      <c r="AH21" s="2" t="s">
        <v>73</v>
      </c>
      <c r="AI21" s="2" t="s">
        <v>247</v>
      </c>
      <c r="AJ21" s="2" t="s">
        <v>248</v>
      </c>
      <c r="AK21" s="2" t="s">
        <v>243</v>
      </c>
      <c r="AL21" s="2" t="s">
        <v>249</v>
      </c>
      <c r="AM21" s="2" t="s">
        <v>250</v>
      </c>
      <c r="AN21" s="2" t="s">
        <v>251</v>
      </c>
      <c r="AO21" s="2"/>
      <c r="AP21" s="2"/>
      <c r="AQ21" s="2" t="s">
        <v>133</v>
      </c>
      <c r="AR21" s="2" t="s">
        <v>134</v>
      </c>
      <c r="AS21" s="2" t="s">
        <v>252</v>
      </c>
      <c r="AT21" s="2"/>
      <c r="AU21" s="2" t="s">
        <v>253</v>
      </c>
      <c r="AV21" s="2" t="s">
        <v>254</v>
      </c>
      <c r="AW21" s="2" t="s">
        <v>91</v>
      </c>
      <c r="AX21" s="2" t="s">
        <v>258</v>
      </c>
      <c r="AY21" s="2"/>
      <c r="AZ21" s="2" t="s">
        <v>139</v>
      </c>
      <c r="BA21" s="2" t="s">
        <v>140</v>
      </c>
      <c r="BB21" s="2" t="s">
        <v>256</v>
      </c>
      <c r="BC21" s="2" t="s">
        <v>259</v>
      </c>
      <c r="BD21" s="2"/>
      <c r="BE21" s="2"/>
      <c r="BF21" s="2"/>
      <c r="BG21" s="2" t="s">
        <v>90</v>
      </c>
    </row>
    <row r="22" spans="1:59" ht="29" x14ac:dyDescent="0.35">
      <c r="A22" s="4" t="s">
        <v>738</v>
      </c>
      <c r="B22" s="2" t="s">
        <v>260</v>
      </c>
      <c r="C22" s="2" t="s">
        <v>59</v>
      </c>
      <c r="D22" s="2" t="s">
        <v>261</v>
      </c>
      <c r="E22" s="2" t="s">
        <v>262</v>
      </c>
      <c r="F22" s="2" t="s">
        <v>261</v>
      </c>
      <c r="G22" s="2"/>
      <c r="H22" s="2"/>
      <c r="I22" s="2"/>
      <c r="J22" s="2"/>
      <c r="K22" s="2"/>
      <c r="L22" s="2"/>
      <c r="M22" s="2"/>
      <c r="N22" s="2"/>
      <c r="O22" s="2" t="s">
        <v>263</v>
      </c>
      <c r="P22" s="2" t="s">
        <v>63</v>
      </c>
      <c r="Q22" s="2"/>
      <c r="R22" s="2"/>
      <c r="S22" s="2"/>
      <c r="T22" s="2" t="s">
        <v>264</v>
      </c>
      <c r="U22" s="2" t="s">
        <v>65</v>
      </c>
      <c r="V22" s="2" t="s">
        <v>66</v>
      </c>
      <c r="W22" s="2" t="s">
        <v>66</v>
      </c>
      <c r="X22" s="2" t="s">
        <v>65</v>
      </c>
      <c r="Y22" s="2" t="s">
        <v>245</v>
      </c>
      <c r="Z22" s="2" t="s">
        <v>246</v>
      </c>
      <c r="AA22" s="2" t="s">
        <v>91</v>
      </c>
      <c r="AB22" s="2" t="s">
        <v>70</v>
      </c>
      <c r="AC22" s="2" t="s">
        <v>71</v>
      </c>
      <c r="AD22" s="2" t="s">
        <v>72</v>
      </c>
      <c r="AE22" s="2"/>
      <c r="AF22" s="2"/>
      <c r="AG22" s="2"/>
      <c r="AH22" s="2" t="s">
        <v>73</v>
      </c>
      <c r="AI22" s="2" t="s">
        <v>265</v>
      </c>
      <c r="AJ22" s="2" t="s">
        <v>266</v>
      </c>
      <c r="AK22" s="2" t="s">
        <v>250</v>
      </c>
      <c r="AL22" s="2" t="s">
        <v>267</v>
      </c>
      <c r="AM22" s="2" t="s">
        <v>203</v>
      </c>
      <c r="AN22" s="2" t="s">
        <v>268</v>
      </c>
      <c r="AO22" s="2"/>
      <c r="AP22" s="2" t="s">
        <v>269</v>
      </c>
      <c r="AQ22" s="2" t="s">
        <v>80</v>
      </c>
      <c r="AR22" s="2" t="s">
        <v>81</v>
      </c>
      <c r="AS22" s="2" t="s">
        <v>270</v>
      </c>
      <c r="AT22" s="2"/>
      <c r="AU22" s="2" t="s">
        <v>214</v>
      </c>
      <c r="AV22" s="2" t="s">
        <v>271</v>
      </c>
      <c r="AW22" s="2" t="s">
        <v>73</v>
      </c>
      <c r="AX22" s="2" t="s">
        <v>272</v>
      </c>
      <c r="AY22" s="2" t="s">
        <v>273</v>
      </c>
      <c r="AZ22" s="2" t="s">
        <v>86</v>
      </c>
      <c r="BA22" s="2" t="s">
        <v>87</v>
      </c>
      <c r="BB22" s="2" t="s">
        <v>143</v>
      </c>
      <c r="BC22" s="2" t="s">
        <v>274</v>
      </c>
      <c r="BD22" s="2"/>
      <c r="BE22" s="2"/>
      <c r="BF22" s="2"/>
      <c r="BG22" s="2" t="s">
        <v>90</v>
      </c>
    </row>
    <row r="23" spans="1:59" ht="29" x14ac:dyDescent="0.35">
      <c r="A23" s="4" t="s">
        <v>738</v>
      </c>
      <c r="B23" s="2" t="s">
        <v>260</v>
      </c>
      <c r="C23" s="2" t="s">
        <v>59</v>
      </c>
      <c r="D23" s="2" t="s">
        <v>261</v>
      </c>
      <c r="E23" s="2" t="s">
        <v>262</v>
      </c>
      <c r="F23" s="2" t="s">
        <v>261</v>
      </c>
      <c r="G23" s="2"/>
      <c r="H23" s="2"/>
      <c r="I23" s="2"/>
      <c r="J23" s="2"/>
      <c r="K23" s="2"/>
      <c r="L23" s="2"/>
      <c r="M23" s="2"/>
      <c r="N23" s="2"/>
      <c r="O23" s="2" t="s">
        <v>263</v>
      </c>
      <c r="P23" s="2" t="s">
        <v>63</v>
      </c>
      <c r="Q23" s="2"/>
      <c r="R23" s="2"/>
      <c r="S23" s="2"/>
      <c r="T23" s="2" t="s">
        <v>264</v>
      </c>
      <c r="U23" s="2" t="s">
        <v>65</v>
      </c>
      <c r="V23" s="2" t="s">
        <v>66</v>
      </c>
      <c r="W23" s="2" t="s">
        <v>66</v>
      </c>
      <c r="X23" s="2" t="s">
        <v>65</v>
      </c>
      <c r="Y23" s="2" t="s">
        <v>245</v>
      </c>
      <c r="Z23" s="2" t="s">
        <v>246</v>
      </c>
      <c r="AA23" s="2" t="s">
        <v>91</v>
      </c>
      <c r="AB23" s="2" t="s">
        <v>70</v>
      </c>
      <c r="AC23" s="2" t="s">
        <v>71</v>
      </c>
      <c r="AD23" s="2" t="s">
        <v>72</v>
      </c>
      <c r="AE23" s="2"/>
      <c r="AF23" s="2"/>
      <c r="AG23" s="2"/>
      <c r="AH23" s="2" t="s">
        <v>73</v>
      </c>
      <c r="AI23" s="2" t="s">
        <v>265</v>
      </c>
      <c r="AJ23" s="2" t="s">
        <v>266</v>
      </c>
      <c r="AK23" s="2" t="s">
        <v>250</v>
      </c>
      <c r="AL23" s="2" t="s">
        <v>275</v>
      </c>
      <c r="AM23" s="2" t="s">
        <v>276</v>
      </c>
      <c r="AN23" s="2" t="s">
        <v>277</v>
      </c>
      <c r="AO23" s="2"/>
      <c r="AP23" s="2" t="s">
        <v>269</v>
      </c>
      <c r="AQ23" s="2" t="s">
        <v>80</v>
      </c>
      <c r="AR23" s="2" t="s">
        <v>81</v>
      </c>
      <c r="AS23" s="2" t="s">
        <v>270</v>
      </c>
      <c r="AT23" s="2"/>
      <c r="AU23" s="2" t="s">
        <v>278</v>
      </c>
      <c r="AV23" s="2" t="s">
        <v>279</v>
      </c>
      <c r="AW23" s="2" t="s">
        <v>73</v>
      </c>
      <c r="AX23" s="2" t="s">
        <v>85</v>
      </c>
      <c r="AY23" s="2"/>
      <c r="AZ23" s="2" t="s">
        <v>86</v>
      </c>
      <c r="BA23" s="2" t="s">
        <v>87</v>
      </c>
      <c r="BB23" s="2" t="s">
        <v>143</v>
      </c>
      <c r="BC23" s="2" t="s">
        <v>280</v>
      </c>
      <c r="BD23" s="2"/>
      <c r="BE23" s="2"/>
      <c r="BF23" s="2"/>
      <c r="BG23" s="2" t="s">
        <v>90</v>
      </c>
    </row>
    <row r="24" spans="1:59" ht="29" x14ac:dyDescent="0.35">
      <c r="A24" s="4" t="s">
        <v>738</v>
      </c>
      <c r="B24" s="2" t="s">
        <v>260</v>
      </c>
      <c r="C24" s="2" t="s">
        <v>59</v>
      </c>
      <c r="D24" s="2" t="s">
        <v>261</v>
      </c>
      <c r="E24" s="2" t="s">
        <v>262</v>
      </c>
      <c r="F24" s="2" t="s">
        <v>261</v>
      </c>
      <c r="G24" s="2"/>
      <c r="H24" s="2"/>
      <c r="I24" s="2"/>
      <c r="J24" s="2"/>
      <c r="K24" s="2"/>
      <c r="L24" s="2"/>
      <c r="M24" s="2"/>
      <c r="N24" s="2"/>
      <c r="O24" s="2" t="s">
        <v>263</v>
      </c>
      <c r="P24" s="2" t="s">
        <v>63</v>
      </c>
      <c r="Q24" s="2"/>
      <c r="R24" s="2"/>
      <c r="S24" s="2"/>
      <c r="T24" s="2" t="s">
        <v>264</v>
      </c>
      <c r="U24" s="2" t="s">
        <v>65</v>
      </c>
      <c r="V24" s="2" t="s">
        <v>66</v>
      </c>
      <c r="W24" s="2" t="s">
        <v>66</v>
      </c>
      <c r="X24" s="2" t="s">
        <v>65</v>
      </c>
      <c r="Y24" s="2" t="s">
        <v>245</v>
      </c>
      <c r="Z24" s="2" t="s">
        <v>246</v>
      </c>
      <c r="AA24" s="2" t="s">
        <v>91</v>
      </c>
      <c r="AB24" s="2" t="s">
        <v>70</v>
      </c>
      <c r="AC24" s="2" t="s">
        <v>71</v>
      </c>
      <c r="AD24" s="2" t="s">
        <v>72</v>
      </c>
      <c r="AE24" s="2"/>
      <c r="AF24" s="2"/>
      <c r="AG24" s="2"/>
      <c r="AH24" s="2" t="s">
        <v>73</v>
      </c>
      <c r="AI24" s="2" t="s">
        <v>265</v>
      </c>
      <c r="AJ24" s="2" t="s">
        <v>266</v>
      </c>
      <c r="AK24" s="2" t="s">
        <v>250</v>
      </c>
      <c r="AL24" s="2" t="s">
        <v>281</v>
      </c>
      <c r="AM24" s="2" t="s">
        <v>276</v>
      </c>
      <c r="AN24" s="2" t="s">
        <v>282</v>
      </c>
      <c r="AO24" s="2"/>
      <c r="AP24" s="2" t="s">
        <v>269</v>
      </c>
      <c r="AQ24" s="2" t="s">
        <v>80</v>
      </c>
      <c r="AR24" s="2" t="s">
        <v>81</v>
      </c>
      <c r="AS24" s="2" t="s">
        <v>270</v>
      </c>
      <c r="AT24" s="2"/>
      <c r="AU24" s="2" t="s">
        <v>214</v>
      </c>
      <c r="AV24" s="2" t="s">
        <v>271</v>
      </c>
      <c r="AW24" s="2" t="s">
        <v>73</v>
      </c>
      <c r="AX24" s="2" t="s">
        <v>283</v>
      </c>
      <c r="AY24" s="2"/>
      <c r="AZ24" s="2" t="s">
        <v>86</v>
      </c>
      <c r="BA24" s="2" t="s">
        <v>87</v>
      </c>
      <c r="BB24" s="2" t="s">
        <v>73</v>
      </c>
      <c r="BC24" s="2" t="s">
        <v>284</v>
      </c>
      <c r="BD24" s="2"/>
      <c r="BE24" s="2"/>
      <c r="BF24" s="2"/>
      <c r="BG24" s="2" t="s">
        <v>90</v>
      </c>
    </row>
    <row r="25" spans="1:59" ht="29" x14ac:dyDescent="0.35">
      <c r="A25" s="4" t="s">
        <v>738</v>
      </c>
      <c r="B25" s="2" t="s">
        <v>260</v>
      </c>
      <c r="C25" s="2" t="s">
        <v>59</v>
      </c>
      <c r="D25" s="2" t="s">
        <v>261</v>
      </c>
      <c r="E25" s="2" t="s">
        <v>262</v>
      </c>
      <c r="F25" s="2" t="s">
        <v>261</v>
      </c>
      <c r="G25" s="2"/>
      <c r="H25" s="2"/>
      <c r="I25" s="2"/>
      <c r="J25" s="2"/>
      <c r="K25" s="2"/>
      <c r="L25" s="2"/>
      <c r="M25" s="2"/>
      <c r="N25" s="2"/>
      <c r="O25" s="2" t="s">
        <v>263</v>
      </c>
      <c r="P25" s="2" t="s">
        <v>63</v>
      </c>
      <c r="Q25" s="2"/>
      <c r="R25" s="2"/>
      <c r="S25" s="2"/>
      <c r="T25" s="2" t="s">
        <v>264</v>
      </c>
      <c r="U25" s="2" t="s">
        <v>65</v>
      </c>
      <c r="V25" s="2" t="s">
        <v>66</v>
      </c>
      <c r="W25" s="2" t="s">
        <v>66</v>
      </c>
      <c r="X25" s="2" t="s">
        <v>65</v>
      </c>
      <c r="Y25" s="2" t="s">
        <v>245</v>
      </c>
      <c r="Z25" s="2" t="s">
        <v>246</v>
      </c>
      <c r="AA25" s="2" t="s">
        <v>285</v>
      </c>
      <c r="AB25" s="2" t="s">
        <v>70</v>
      </c>
      <c r="AC25" s="2" t="s">
        <v>71</v>
      </c>
      <c r="AD25" s="2" t="s">
        <v>72</v>
      </c>
      <c r="AE25" s="2"/>
      <c r="AF25" s="2"/>
      <c r="AG25" s="2"/>
      <c r="AH25" s="2" t="s">
        <v>73</v>
      </c>
      <c r="AI25" s="2" t="s">
        <v>265</v>
      </c>
      <c r="AJ25" s="2" t="s">
        <v>286</v>
      </c>
      <c r="AK25" s="2" t="s">
        <v>77</v>
      </c>
      <c r="AL25" s="2" t="s">
        <v>287</v>
      </c>
      <c r="AM25" s="2" t="s">
        <v>288</v>
      </c>
      <c r="AN25" s="2" t="s">
        <v>289</v>
      </c>
      <c r="AO25" s="2"/>
      <c r="AP25" s="2" t="s">
        <v>290</v>
      </c>
      <c r="AQ25" s="2" t="s">
        <v>291</v>
      </c>
      <c r="AR25" s="2" t="s">
        <v>292</v>
      </c>
      <c r="AS25" s="2" t="s">
        <v>293</v>
      </c>
      <c r="AT25" s="2"/>
      <c r="AU25" s="2" t="s">
        <v>294</v>
      </c>
      <c r="AV25" s="2" t="s">
        <v>295</v>
      </c>
      <c r="AW25" s="2" t="s">
        <v>73</v>
      </c>
      <c r="AX25" s="2" t="s">
        <v>296</v>
      </c>
      <c r="AY25" s="2" t="s">
        <v>273</v>
      </c>
      <c r="AZ25" s="2" t="s">
        <v>297</v>
      </c>
      <c r="BA25" s="2" t="s">
        <v>298</v>
      </c>
      <c r="BB25" s="2" t="s">
        <v>294</v>
      </c>
      <c r="BC25" s="2" t="s">
        <v>299</v>
      </c>
      <c r="BD25" s="2"/>
      <c r="BE25" s="2"/>
      <c r="BF25" s="2"/>
      <c r="BG25" s="2" t="s">
        <v>90</v>
      </c>
    </row>
    <row r="26" spans="1:59" ht="29" x14ac:dyDescent="0.35">
      <c r="A26" s="4" t="s">
        <v>738</v>
      </c>
      <c r="B26" s="2" t="s">
        <v>260</v>
      </c>
      <c r="C26" s="2" t="s">
        <v>59</v>
      </c>
      <c r="D26" s="2" t="s">
        <v>261</v>
      </c>
      <c r="E26" s="2" t="s">
        <v>262</v>
      </c>
      <c r="F26" s="2" t="s">
        <v>261</v>
      </c>
      <c r="G26" s="2"/>
      <c r="H26" s="2"/>
      <c r="I26" s="2"/>
      <c r="J26" s="2"/>
      <c r="K26" s="2"/>
      <c r="L26" s="2"/>
      <c r="M26" s="2"/>
      <c r="N26" s="2"/>
      <c r="O26" s="2" t="s">
        <v>263</v>
      </c>
      <c r="P26" s="2" t="s">
        <v>63</v>
      </c>
      <c r="Q26" s="2"/>
      <c r="R26" s="2"/>
      <c r="S26" s="2"/>
      <c r="T26" s="2" t="s">
        <v>264</v>
      </c>
      <c r="U26" s="2" t="s">
        <v>65</v>
      </c>
      <c r="V26" s="2" t="s">
        <v>66</v>
      </c>
      <c r="W26" s="2" t="s">
        <v>66</v>
      </c>
      <c r="X26" s="2" t="s">
        <v>65</v>
      </c>
      <c r="Y26" s="2" t="s">
        <v>245</v>
      </c>
      <c r="Z26" s="2" t="s">
        <v>246</v>
      </c>
      <c r="AA26" s="2" t="s">
        <v>113</v>
      </c>
      <c r="AB26" s="2" t="s">
        <v>70</v>
      </c>
      <c r="AC26" s="2" t="s">
        <v>71</v>
      </c>
      <c r="AD26" s="2" t="s">
        <v>72</v>
      </c>
      <c r="AE26" s="2"/>
      <c r="AF26" s="2"/>
      <c r="AG26" s="2"/>
      <c r="AH26" s="2" t="s">
        <v>73</v>
      </c>
      <c r="AI26" s="2" t="s">
        <v>265</v>
      </c>
      <c r="AJ26" s="2" t="s">
        <v>300</v>
      </c>
      <c r="AK26" s="2" t="s">
        <v>301</v>
      </c>
      <c r="AL26" s="2" t="s">
        <v>302</v>
      </c>
      <c r="AM26" s="2" t="s">
        <v>187</v>
      </c>
      <c r="AN26" s="2" t="s">
        <v>303</v>
      </c>
      <c r="AO26" s="2"/>
      <c r="AP26" s="2" t="s">
        <v>304</v>
      </c>
      <c r="AQ26" s="2" t="s">
        <v>305</v>
      </c>
      <c r="AR26" s="2" t="s">
        <v>306</v>
      </c>
      <c r="AS26" s="2" t="s">
        <v>307</v>
      </c>
      <c r="AT26" s="2"/>
      <c r="AU26" s="2" t="s">
        <v>308</v>
      </c>
      <c r="AV26" s="2" t="s">
        <v>309</v>
      </c>
      <c r="AW26" s="2" t="s">
        <v>73</v>
      </c>
      <c r="AX26" s="2" t="s">
        <v>310</v>
      </c>
      <c r="AY26" s="2"/>
      <c r="AZ26" s="2" t="s">
        <v>311</v>
      </c>
      <c r="BA26" s="2" t="s">
        <v>312</v>
      </c>
      <c r="BB26" s="2" t="s">
        <v>162</v>
      </c>
      <c r="BC26" s="2" t="s">
        <v>313</v>
      </c>
      <c r="BD26" s="2"/>
      <c r="BE26" s="2"/>
      <c r="BF26" s="2"/>
      <c r="BG26" s="2" t="s">
        <v>90</v>
      </c>
    </row>
    <row r="27" spans="1:59" ht="29" x14ac:dyDescent="0.35">
      <c r="A27" s="4" t="s">
        <v>738</v>
      </c>
      <c r="B27" s="2" t="s">
        <v>260</v>
      </c>
      <c r="C27" s="2" t="s">
        <v>59</v>
      </c>
      <c r="D27" s="2" t="s">
        <v>261</v>
      </c>
      <c r="E27" s="2" t="s">
        <v>262</v>
      </c>
      <c r="F27" s="2" t="s">
        <v>261</v>
      </c>
      <c r="G27" s="2"/>
      <c r="H27" s="2"/>
      <c r="I27" s="2"/>
      <c r="J27" s="2"/>
      <c r="K27" s="2"/>
      <c r="L27" s="2"/>
      <c r="M27" s="2"/>
      <c r="N27" s="2"/>
      <c r="O27" s="2" t="s">
        <v>263</v>
      </c>
      <c r="P27" s="2" t="s">
        <v>63</v>
      </c>
      <c r="Q27" s="2"/>
      <c r="R27" s="2"/>
      <c r="S27" s="2"/>
      <c r="T27" s="2" t="s">
        <v>264</v>
      </c>
      <c r="U27" s="2" t="s">
        <v>65</v>
      </c>
      <c r="V27" s="2" t="s">
        <v>66</v>
      </c>
      <c r="W27" s="2" t="s">
        <v>66</v>
      </c>
      <c r="X27" s="2" t="s">
        <v>65</v>
      </c>
      <c r="Y27" s="2" t="s">
        <v>245</v>
      </c>
      <c r="Z27" s="2" t="s">
        <v>246</v>
      </c>
      <c r="AA27" s="2" t="s">
        <v>97</v>
      </c>
      <c r="AB27" s="2" t="s">
        <v>70</v>
      </c>
      <c r="AC27" s="2" t="s">
        <v>71</v>
      </c>
      <c r="AD27" s="2" t="s">
        <v>72</v>
      </c>
      <c r="AE27" s="2"/>
      <c r="AF27" s="2"/>
      <c r="AG27" s="2"/>
      <c r="AH27" s="2" t="s">
        <v>91</v>
      </c>
      <c r="AI27" s="2" t="s">
        <v>265</v>
      </c>
      <c r="AJ27" s="2" t="s">
        <v>314</v>
      </c>
      <c r="AK27" s="2" t="s">
        <v>94</v>
      </c>
      <c r="AL27" s="2" t="s">
        <v>315</v>
      </c>
      <c r="AM27" s="2" t="s">
        <v>77</v>
      </c>
      <c r="AN27" s="2" t="s">
        <v>316</v>
      </c>
      <c r="AO27" s="2"/>
      <c r="AP27" s="2" t="s">
        <v>317</v>
      </c>
      <c r="AQ27" s="2" t="s">
        <v>318</v>
      </c>
      <c r="AR27" s="2" t="s">
        <v>319</v>
      </c>
      <c r="AS27" s="2" t="s">
        <v>320</v>
      </c>
      <c r="AT27" s="2"/>
      <c r="AU27" s="2" t="s">
        <v>321</v>
      </c>
      <c r="AV27" s="2" t="s">
        <v>322</v>
      </c>
      <c r="AW27" s="2" t="s">
        <v>73</v>
      </c>
      <c r="AX27" s="2" t="s">
        <v>323</v>
      </c>
      <c r="AY27" s="2"/>
      <c r="AZ27" s="2" t="s">
        <v>324</v>
      </c>
      <c r="BA27" s="2" t="s">
        <v>325</v>
      </c>
      <c r="BB27" s="2" t="s">
        <v>321</v>
      </c>
      <c r="BC27" s="2" t="s">
        <v>326</v>
      </c>
      <c r="BD27" s="2"/>
      <c r="BE27" s="2"/>
      <c r="BF27" s="2"/>
      <c r="BG27" s="2" t="s">
        <v>90</v>
      </c>
    </row>
    <row r="28" spans="1:59" ht="29" x14ac:dyDescent="0.35">
      <c r="A28" s="4" t="s">
        <v>738</v>
      </c>
      <c r="B28" s="2" t="s">
        <v>260</v>
      </c>
      <c r="C28" s="2" t="s">
        <v>59</v>
      </c>
      <c r="D28" s="2" t="s">
        <v>261</v>
      </c>
      <c r="E28" s="2" t="s">
        <v>262</v>
      </c>
      <c r="F28" s="2" t="s">
        <v>261</v>
      </c>
      <c r="G28" s="2"/>
      <c r="H28" s="2"/>
      <c r="I28" s="2"/>
      <c r="J28" s="2"/>
      <c r="K28" s="2"/>
      <c r="L28" s="2"/>
      <c r="M28" s="2"/>
      <c r="N28" s="2"/>
      <c r="O28" s="2" t="s">
        <v>263</v>
      </c>
      <c r="P28" s="2" t="s">
        <v>63</v>
      </c>
      <c r="Q28" s="2"/>
      <c r="R28" s="2"/>
      <c r="S28" s="2"/>
      <c r="T28" s="2" t="s">
        <v>264</v>
      </c>
      <c r="U28" s="2" t="s">
        <v>65</v>
      </c>
      <c r="V28" s="2" t="s">
        <v>66</v>
      </c>
      <c r="W28" s="2" t="s">
        <v>66</v>
      </c>
      <c r="X28" s="2" t="s">
        <v>65</v>
      </c>
      <c r="Y28" s="2" t="s">
        <v>245</v>
      </c>
      <c r="Z28" s="2" t="s">
        <v>246</v>
      </c>
      <c r="AA28" s="2" t="s">
        <v>97</v>
      </c>
      <c r="AB28" s="2" t="s">
        <v>70</v>
      </c>
      <c r="AC28" s="2" t="s">
        <v>71</v>
      </c>
      <c r="AD28" s="2" t="s">
        <v>72</v>
      </c>
      <c r="AE28" s="2"/>
      <c r="AF28" s="2"/>
      <c r="AG28" s="2"/>
      <c r="AH28" s="2" t="s">
        <v>91</v>
      </c>
      <c r="AI28" s="2" t="s">
        <v>265</v>
      </c>
      <c r="AJ28" s="2" t="s">
        <v>314</v>
      </c>
      <c r="AK28" s="2" t="s">
        <v>94</v>
      </c>
      <c r="AL28" s="2" t="s">
        <v>327</v>
      </c>
      <c r="AM28" s="2" t="s">
        <v>250</v>
      </c>
      <c r="AN28" s="2" t="s">
        <v>328</v>
      </c>
      <c r="AO28" s="2"/>
      <c r="AP28" s="2" t="s">
        <v>317</v>
      </c>
      <c r="AQ28" s="2" t="s">
        <v>318</v>
      </c>
      <c r="AR28" s="2" t="s">
        <v>319</v>
      </c>
      <c r="AS28" s="2" t="s">
        <v>320</v>
      </c>
      <c r="AT28" s="2"/>
      <c r="AU28" s="2" t="s">
        <v>329</v>
      </c>
      <c r="AV28" s="2" t="s">
        <v>330</v>
      </c>
      <c r="AW28" s="2" t="s">
        <v>73</v>
      </c>
      <c r="AX28" s="2" t="s">
        <v>331</v>
      </c>
      <c r="AY28" s="2"/>
      <c r="AZ28" s="2" t="s">
        <v>324</v>
      </c>
      <c r="BA28" s="2" t="s">
        <v>325</v>
      </c>
      <c r="BB28" s="2" t="s">
        <v>329</v>
      </c>
      <c r="BC28" s="2" t="s">
        <v>332</v>
      </c>
      <c r="BD28" s="2"/>
      <c r="BE28" s="2"/>
      <c r="BF28" s="2"/>
      <c r="BG28" s="2" t="s">
        <v>90</v>
      </c>
    </row>
    <row r="29" spans="1:59" ht="29" x14ac:dyDescent="0.35">
      <c r="A29" s="4" t="s">
        <v>738</v>
      </c>
      <c r="B29" s="2" t="s">
        <v>260</v>
      </c>
      <c r="C29" s="2" t="s">
        <v>59</v>
      </c>
      <c r="D29" s="2" t="s">
        <v>261</v>
      </c>
      <c r="E29" s="2" t="s">
        <v>262</v>
      </c>
      <c r="F29" s="2" t="s">
        <v>261</v>
      </c>
      <c r="G29" s="2"/>
      <c r="H29" s="2"/>
      <c r="I29" s="2"/>
      <c r="J29" s="2"/>
      <c r="K29" s="2"/>
      <c r="L29" s="2"/>
      <c r="M29" s="2"/>
      <c r="N29" s="2"/>
      <c r="O29" s="2" t="s">
        <v>263</v>
      </c>
      <c r="P29" s="2" t="s">
        <v>63</v>
      </c>
      <c r="Q29" s="2"/>
      <c r="R29" s="2"/>
      <c r="S29" s="2"/>
      <c r="T29" s="2" t="s">
        <v>264</v>
      </c>
      <c r="U29" s="2" t="s">
        <v>65</v>
      </c>
      <c r="V29" s="2" t="s">
        <v>66</v>
      </c>
      <c r="W29" s="2" t="s">
        <v>66</v>
      </c>
      <c r="X29" s="2" t="s">
        <v>65</v>
      </c>
      <c r="Y29" s="2" t="s">
        <v>245</v>
      </c>
      <c r="Z29" s="2" t="s">
        <v>246</v>
      </c>
      <c r="AA29" s="2" t="s">
        <v>333</v>
      </c>
      <c r="AB29" s="2" t="s">
        <v>70</v>
      </c>
      <c r="AC29" s="2" t="s">
        <v>71</v>
      </c>
      <c r="AD29" s="2" t="s">
        <v>72</v>
      </c>
      <c r="AE29" s="2"/>
      <c r="AF29" s="2"/>
      <c r="AG29" s="2"/>
      <c r="AH29" s="2" t="s">
        <v>91</v>
      </c>
      <c r="AI29" s="2" t="s">
        <v>265</v>
      </c>
      <c r="AJ29" s="2" t="s">
        <v>334</v>
      </c>
      <c r="AK29" s="2" t="s">
        <v>250</v>
      </c>
      <c r="AL29" s="2" t="s">
        <v>335</v>
      </c>
      <c r="AM29" s="2" t="s">
        <v>336</v>
      </c>
      <c r="AN29" s="2" t="s">
        <v>166</v>
      </c>
      <c r="AO29" s="2"/>
      <c r="AP29" s="2" t="s">
        <v>337</v>
      </c>
      <c r="AQ29" s="2" t="s">
        <v>168</v>
      </c>
      <c r="AR29" s="2" t="s">
        <v>169</v>
      </c>
      <c r="AS29" s="2" t="s">
        <v>338</v>
      </c>
      <c r="AT29" s="2"/>
      <c r="AU29" s="2" t="s">
        <v>171</v>
      </c>
      <c r="AV29" s="2" t="s">
        <v>172</v>
      </c>
      <c r="AW29" s="2" t="s">
        <v>73</v>
      </c>
      <c r="AX29" s="2" t="s">
        <v>173</v>
      </c>
      <c r="AY29" s="2"/>
      <c r="AZ29" s="2" t="s">
        <v>174</v>
      </c>
      <c r="BA29" s="2" t="s">
        <v>175</v>
      </c>
      <c r="BB29" s="2" t="s">
        <v>176</v>
      </c>
      <c r="BC29" s="2" t="s">
        <v>177</v>
      </c>
      <c r="BD29" s="2"/>
      <c r="BE29" s="2"/>
      <c r="BF29" s="2"/>
      <c r="BG29" s="2" t="s">
        <v>90</v>
      </c>
    </row>
    <row r="30" spans="1:59" ht="29" x14ac:dyDescent="0.35">
      <c r="A30" s="4" t="s">
        <v>738</v>
      </c>
      <c r="B30" s="2" t="s">
        <v>260</v>
      </c>
      <c r="C30" s="2" t="s">
        <v>59</v>
      </c>
      <c r="D30" s="2" t="s">
        <v>261</v>
      </c>
      <c r="E30" s="2" t="s">
        <v>262</v>
      </c>
      <c r="F30" s="2" t="s">
        <v>261</v>
      </c>
      <c r="G30" s="2"/>
      <c r="H30" s="2"/>
      <c r="I30" s="2"/>
      <c r="J30" s="2"/>
      <c r="K30" s="2"/>
      <c r="L30" s="2"/>
      <c r="M30" s="2"/>
      <c r="N30" s="2"/>
      <c r="O30" s="2" t="s">
        <v>263</v>
      </c>
      <c r="P30" s="2" t="s">
        <v>63</v>
      </c>
      <c r="Q30" s="2"/>
      <c r="R30" s="2"/>
      <c r="S30" s="2"/>
      <c r="T30" s="2" t="s">
        <v>264</v>
      </c>
      <c r="U30" s="2" t="s">
        <v>65</v>
      </c>
      <c r="V30" s="2" t="s">
        <v>66</v>
      </c>
      <c r="W30" s="2" t="s">
        <v>66</v>
      </c>
      <c r="X30" s="2" t="s">
        <v>65</v>
      </c>
      <c r="Y30" s="2" t="s">
        <v>245</v>
      </c>
      <c r="Z30" s="2" t="s">
        <v>246</v>
      </c>
      <c r="AA30" s="2" t="s">
        <v>162</v>
      </c>
      <c r="AB30" s="2" t="s">
        <v>70</v>
      </c>
      <c r="AC30" s="2" t="s">
        <v>71</v>
      </c>
      <c r="AD30" s="2" t="s">
        <v>72</v>
      </c>
      <c r="AE30" s="2"/>
      <c r="AF30" s="2"/>
      <c r="AG30" s="2"/>
      <c r="AH30" s="2" t="s">
        <v>88</v>
      </c>
      <c r="AI30" s="2" t="s">
        <v>265</v>
      </c>
      <c r="AJ30" s="2" t="s">
        <v>339</v>
      </c>
      <c r="AK30" s="2" t="s">
        <v>243</v>
      </c>
      <c r="AL30" s="2" t="s">
        <v>340</v>
      </c>
      <c r="AM30" s="2" t="s">
        <v>115</v>
      </c>
      <c r="AN30" s="2" t="s">
        <v>341</v>
      </c>
      <c r="AO30" s="2"/>
      <c r="AP30" s="2" t="s">
        <v>342</v>
      </c>
      <c r="AQ30" s="2" t="s">
        <v>343</v>
      </c>
      <c r="AR30" s="2" t="s">
        <v>344</v>
      </c>
      <c r="AS30" s="2" t="s">
        <v>345</v>
      </c>
      <c r="AT30" s="2"/>
      <c r="AU30" s="2" t="s">
        <v>346</v>
      </c>
      <c r="AV30" s="2" t="s">
        <v>347</v>
      </c>
      <c r="AW30" s="2" t="s">
        <v>73</v>
      </c>
      <c r="AX30" s="2" t="s">
        <v>348</v>
      </c>
      <c r="AY30" s="2"/>
      <c r="AZ30" s="2" t="s">
        <v>349</v>
      </c>
      <c r="BA30" s="2" t="s">
        <v>350</v>
      </c>
      <c r="BB30" s="2" t="s">
        <v>351</v>
      </c>
      <c r="BC30" s="2" t="s">
        <v>352</v>
      </c>
      <c r="BD30" s="2"/>
      <c r="BE30" s="2"/>
      <c r="BF30" s="2"/>
      <c r="BG30" s="2" t="s">
        <v>90</v>
      </c>
    </row>
    <row r="31" spans="1:59" ht="29" x14ac:dyDescent="0.35">
      <c r="A31" s="4" t="s">
        <v>738</v>
      </c>
      <c r="B31" s="2" t="s">
        <v>260</v>
      </c>
      <c r="C31" s="2" t="s">
        <v>59</v>
      </c>
      <c r="D31" s="2" t="s">
        <v>261</v>
      </c>
      <c r="E31" s="2" t="s">
        <v>262</v>
      </c>
      <c r="F31" s="2" t="s">
        <v>261</v>
      </c>
      <c r="G31" s="2"/>
      <c r="H31" s="2"/>
      <c r="I31" s="2"/>
      <c r="J31" s="2"/>
      <c r="K31" s="2"/>
      <c r="L31" s="2"/>
      <c r="M31" s="2"/>
      <c r="N31" s="2"/>
      <c r="O31" s="2" t="s">
        <v>263</v>
      </c>
      <c r="P31" s="2" t="s">
        <v>63</v>
      </c>
      <c r="Q31" s="2"/>
      <c r="R31" s="2"/>
      <c r="S31" s="2"/>
      <c r="T31" s="2" t="s">
        <v>264</v>
      </c>
      <c r="U31" s="2" t="s">
        <v>65</v>
      </c>
      <c r="V31" s="2" t="s">
        <v>66</v>
      </c>
      <c r="W31" s="2" t="s">
        <v>66</v>
      </c>
      <c r="X31" s="2" t="s">
        <v>65</v>
      </c>
      <c r="Y31" s="2" t="s">
        <v>245</v>
      </c>
      <c r="Z31" s="2" t="s">
        <v>246</v>
      </c>
      <c r="AA31" s="2" t="s">
        <v>162</v>
      </c>
      <c r="AB31" s="2" t="s">
        <v>70</v>
      </c>
      <c r="AC31" s="2" t="s">
        <v>71</v>
      </c>
      <c r="AD31" s="2" t="s">
        <v>72</v>
      </c>
      <c r="AE31" s="2"/>
      <c r="AF31" s="2"/>
      <c r="AG31" s="2"/>
      <c r="AH31" s="2" t="s">
        <v>88</v>
      </c>
      <c r="AI31" s="2" t="s">
        <v>265</v>
      </c>
      <c r="AJ31" s="2" t="s">
        <v>339</v>
      </c>
      <c r="AK31" s="2" t="s">
        <v>243</v>
      </c>
      <c r="AL31" s="2" t="s">
        <v>340</v>
      </c>
      <c r="AM31" s="2" t="s">
        <v>115</v>
      </c>
      <c r="AN31" s="2" t="s">
        <v>341</v>
      </c>
      <c r="AO31" s="2"/>
      <c r="AP31" s="2" t="s">
        <v>342</v>
      </c>
      <c r="AQ31" s="2" t="s">
        <v>343</v>
      </c>
      <c r="AR31" s="2" t="s">
        <v>344</v>
      </c>
      <c r="AS31" s="2" t="s">
        <v>345</v>
      </c>
      <c r="AT31" s="2"/>
      <c r="AU31" s="2" t="s">
        <v>346</v>
      </c>
      <c r="AV31" s="2" t="s">
        <v>347</v>
      </c>
      <c r="AW31" s="2" t="s">
        <v>91</v>
      </c>
      <c r="AX31" s="2" t="s">
        <v>353</v>
      </c>
      <c r="AY31" s="2"/>
      <c r="AZ31" s="2" t="s">
        <v>349</v>
      </c>
      <c r="BA31" s="2" t="s">
        <v>350</v>
      </c>
      <c r="BB31" s="2" t="s">
        <v>351</v>
      </c>
      <c r="BC31" s="2" t="s">
        <v>352</v>
      </c>
      <c r="BD31" s="2"/>
      <c r="BE31" s="2"/>
      <c r="BF31" s="2"/>
      <c r="BG31" s="2" t="s">
        <v>90</v>
      </c>
    </row>
    <row r="32" spans="1:59" ht="29" x14ac:dyDescent="0.35">
      <c r="A32" s="4" t="s">
        <v>738</v>
      </c>
      <c r="B32" s="2" t="s">
        <v>260</v>
      </c>
      <c r="C32" s="2" t="s">
        <v>59</v>
      </c>
      <c r="D32" s="2" t="s">
        <v>261</v>
      </c>
      <c r="E32" s="2" t="s">
        <v>262</v>
      </c>
      <c r="F32" s="2" t="s">
        <v>261</v>
      </c>
      <c r="G32" s="2"/>
      <c r="H32" s="2"/>
      <c r="I32" s="2"/>
      <c r="J32" s="2"/>
      <c r="K32" s="2"/>
      <c r="L32" s="2"/>
      <c r="M32" s="2"/>
      <c r="N32" s="2"/>
      <c r="O32" s="2" t="s">
        <v>263</v>
      </c>
      <c r="P32" s="2" t="s">
        <v>63</v>
      </c>
      <c r="Q32" s="2"/>
      <c r="R32" s="2"/>
      <c r="S32" s="2"/>
      <c r="T32" s="2" t="s">
        <v>264</v>
      </c>
      <c r="U32" s="2" t="s">
        <v>65</v>
      </c>
      <c r="V32" s="2" t="s">
        <v>66</v>
      </c>
      <c r="W32" s="2" t="s">
        <v>66</v>
      </c>
      <c r="X32" s="2" t="s">
        <v>65</v>
      </c>
      <c r="Y32" s="2" t="s">
        <v>245</v>
      </c>
      <c r="Z32" s="2" t="s">
        <v>246</v>
      </c>
      <c r="AA32" s="2" t="s">
        <v>162</v>
      </c>
      <c r="AB32" s="2" t="s">
        <v>70</v>
      </c>
      <c r="AC32" s="2" t="s">
        <v>71</v>
      </c>
      <c r="AD32" s="2" t="s">
        <v>72</v>
      </c>
      <c r="AE32" s="2"/>
      <c r="AF32" s="2"/>
      <c r="AG32" s="2"/>
      <c r="AH32" s="2" t="s">
        <v>88</v>
      </c>
      <c r="AI32" s="2" t="s">
        <v>265</v>
      </c>
      <c r="AJ32" s="2" t="s">
        <v>339</v>
      </c>
      <c r="AK32" s="2" t="s">
        <v>243</v>
      </c>
      <c r="AL32" s="2" t="s">
        <v>340</v>
      </c>
      <c r="AM32" s="2" t="s">
        <v>115</v>
      </c>
      <c r="AN32" s="2" t="s">
        <v>341</v>
      </c>
      <c r="AO32" s="2"/>
      <c r="AP32" s="2" t="s">
        <v>342</v>
      </c>
      <c r="AQ32" s="2" t="s">
        <v>343</v>
      </c>
      <c r="AR32" s="2" t="s">
        <v>344</v>
      </c>
      <c r="AS32" s="2" t="s">
        <v>345</v>
      </c>
      <c r="AT32" s="2"/>
      <c r="AU32" s="2" t="s">
        <v>346</v>
      </c>
      <c r="AV32" s="2" t="s">
        <v>347</v>
      </c>
      <c r="AW32" s="2" t="s">
        <v>88</v>
      </c>
      <c r="AX32" s="2" t="s">
        <v>354</v>
      </c>
      <c r="AY32" s="2"/>
      <c r="AZ32" s="2" t="s">
        <v>349</v>
      </c>
      <c r="BA32" s="2" t="s">
        <v>350</v>
      </c>
      <c r="BB32" s="2" t="s">
        <v>355</v>
      </c>
      <c r="BC32" s="2" t="s">
        <v>356</v>
      </c>
      <c r="BD32" s="2"/>
      <c r="BE32" s="2"/>
      <c r="BF32" s="2"/>
      <c r="BG32" s="2" t="s">
        <v>90</v>
      </c>
    </row>
    <row r="33" spans="1:59" ht="29" x14ac:dyDescent="0.35">
      <c r="A33" s="4" t="s">
        <v>738</v>
      </c>
      <c r="B33" s="2" t="s">
        <v>260</v>
      </c>
      <c r="C33" s="2" t="s">
        <v>59</v>
      </c>
      <c r="D33" s="2" t="s">
        <v>261</v>
      </c>
      <c r="E33" s="2" t="s">
        <v>262</v>
      </c>
      <c r="F33" s="2" t="s">
        <v>261</v>
      </c>
      <c r="G33" s="2"/>
      <c r="H33" s="2"/>
      <c r="I33" s="2"/>
      <c r="J33" s="2"/>
      <c r="K33" s="2"/>
      <c r="L33" s="2"/>
      <c r="M33" s="2"/>
      <c r="N33" s="2"/>
      <c r="O33" s="2" t="s">
        <v>263</v>
      </c>
      <c r="P33" s="2" t="s">
        <v>63</v>
      </c>
      <c r="Q33" s="2"/>
      <c r="R33" s="2"/>
      <c r="S33" s="2"/>
      <c r="T33" s="2" t="s">
        <v>264</v>
      </c>
      <c r="U33" s="2" t="s">
        <v>65</v>
      </c>
      <c r="V33" s="2" t="s">
        <v>66</v>
      </c>
      <c r="W33" s="2" t="s">
        <v>66</v>
      </c>
      <c r="X33" s="2" t="s">
        <v>65</v>
      </c>
      <c r="Y33" s="2" t="s">
        <v>245</v>
      </c>
      <c r="Z33" s="2" t="s">
        <v>246</v>
      </c>
      <c r="AA33" s="2" t="s">
        <v>88</v>
      </c>
      <c r="AB33" s="2" t="s">
        <v>70</v>
      </c>
      <c r="AC33" s="2" t="s">
        <v>71</v>
      </c>
      <c r="AD33" s="2" t="s">
        <v>72</v>
      </c>
      <c r="AE33" s="2"/>
      <c r="AF33" s="2"/>
      <c r="AG33" s="2"/>
      <c r="AH33" s="2" t="s">
        <v>73</v>
      </c>
      <c r="AI33" s="2" t="s">
        <v>265</v>
      </c>
      <c r="AJ33" s="2" t="s">
        <v>357</v>
      </c>
      <c r="AK33" s="2" t="s">
        <v>250</v>
      </c>
      <c r="AL33" s="2" t="s">
        <v>358</v>
      </c>
      <c r="AM33" s="2" t="s">
        <v>359</v>
      </c>
      <c r="AN33" s="2" t="s">
        <v>360</v>
      </c>
      <c r="AO33" s="2"/>
      <c r="AP33" s="2" t="s">
        <v>361</v>
      </c>
      <c r="AQ33" s="2" t="s">
        <v>362</v>
      </c>
      <c r="AR33" s="2" t="s">
        <v>363</v>
      </c>
      <c r="AS33" s="2" t="s">
        <v>364</v>
      </c>
      <c r="AT33" s="2"/>
      <c r="AU33" s="2" t="s">
        <v>365</v>
      </c>
      <c r="AV33" s="2" t="s">
        <v>366</v>
      </c>
      <c r="AW33" s="2" t="s">
        <v>73</v>
      </c>
      <c r="AX33" s="2" t="s">
        <v>367</v>
      </c>
      <c r="AY33" s="2"/>
      <c r="AZ33" s="2" t="s">
        <v>368</v>
      </c>
      <c r="BA33" s="2" t="s">
        <v>369</v>
      </c>
      <c r="BB33" s="2" t="s">
        <v>355</v>
      </c>
      <c r="BC33" s="2" t="s">
        <v>370</v>
      </c>
      <c r="BD33" s="2"/>
      <c r="BE33" s="2"/>
      <c r="BF33" s="2"/>
      <c r="BG33" s="2" t="s">
        <v>90</v>
      </c>
    </row>
    <row r="34" spans="1:59" ht="29" x14ac:dyDescent="0.35">
      <c r="A34" s="4" t="s">
        <v>738</v>
      </c>
      <c r="B34" s="2" t="s">
        <v>260</v>
      </c>
      <c r="C34" s="2" t="s">
        <v>59</v>
      </c>
      <c r="D34" s="2" t="s">
        <v>261</v>
      </c>
      <c r="E34" s="2" t="s">
        <v>262</v>
      </c>
      <c r="F34" s="2" t="s">
        <v>261</v>
      </c>
      <c r="G34" s="2"/>
      <c r="H34" s="2"/>
      <c r="I34" s="2"/>
      <c r="J34" s="2"/>
      <c r="K34" s="2"/>
      <c r="L34" s="2"/>
      <c r="M34" s="2"/>
      <c r="N34" s="2"/>
      <c r="O34" s="2" t="s">
        <v>263</v>
      </c>
      <c r="P34" s="2" t="s">
        <v>63</v>
      </c>
      <c r="Q34" s="2"/>
      <c r="R34" s="2"/>
      <c r="S34" s="2"/>
      <c r="T34" s="2" t="s">
        <v>264</v>
      </c>
      <c r="U34" s="2" t="s">
        <v>65</v>
      </c>
      <c r="V34" s="2" t="s">
        <v>66</v>
      </c>
      <c r="W34" s="2" t="s">
        <v>66</v>
      </c>
      <c r="X34" s="2" t="s">
        <v>65</v>
      </c>
      <c r="Y34" s="2" t="s">
        <v>245</v>
      </c>
      <c r="Z34" s="2" t="s">
        <v>246</v>
      </c>
      <c r="AA34" s="2" t="s">
        <v>69</v>
      </c>
      <c r="AB34" s="2" t="s">
        <v>70</v>
      </c>
      <c r="AC34" s="2" t="s">
        <v>71</v>
      </c>
      <c r="AD34" s="2" t="s">
        <v>72</v>
      </c>
      <c r="AE34" s="2"/>
      <c r="AF34" s="2"/>
      <c r="AG34" s="2"/>
      <c r="AH34" s="2" t="s">
        <v>73</v>
      </c>
      <c r="AI34" s="2" t="s">
        <v>265</v>
      </c>
      <c r="AJ34" s="2" t="s">
        <v>371</v>
      </c>
      <c r="AK34" s="2" t="s">
        <v>243</v>
      </c>
      <c r="AL34" s="2" t="s">
        <v>372</v>
      </c>
      <c r="AM34" s="2" t="s">
        <v>250</v>
      </c>
      <c r="AN34" s="2" t="s">
        <v>373</v>
      </c>
      <c r="AO34" s="2"/>
      <c r="AP34" s="2" t="s">
        <v>374</v>
      </c>
      <c r="AQ34" s="2" t="s">
        <v>133</v>
      </c>
      <c r="AR34" s="2" t="s">
        <v>134</v>
      </c>
      <c r="AS34" s="2" t="s">
        <v>375</v>
      </c>
      <c r="AT34" s="2"/>
      <c r="AU34" s="2" t="s">
        <v>376</v>
      </c>
      <c r="AV34" s="2" t="s">
        <v>377</v>
      </c>
      <c r="AW34" s="2" t="s">
        <v>73</v>
      </c>
      <c r="AX34" s="2" t="s">
        <v>378</v>
      </c>
      <c r="AY34" s="2"/>
      <c r="AZ34" s="2" t="s">
        <v>139</v>
      </c>
      <c r="BA34" s="2" t="s">
        <v>379</v>
      </c>
      <c r="BB34" s="2" t="s">
        <v>141</v>
      </c>
      <c r="BC34" s="2" t="s">
        <v>380</v>
      </c>
      <c r="BD34" s="2"/>
      <c r="BE34" s="2"/>
      <c r="BF34" s="2"/>
      <c r="BG34" s="2" t="s">
        <v>90</v>
      </c>
    </row>
    <row r="35" spans="1:59" ht="29" x14ac:dyDescent="0.35">
      <c r="A35" s="4" t="s">
        <v>738</v>
      </c>
      <c r="B35" s="2" t="s">
        <v>260</v>
      </c>
      <c r="C35" s="2" t="s">
        <v>59</v>
      </c>
      <c r="D35" s="2" t="s">
        <v>261</v>
      </c>
      <c r="E35" s="2" t="s">
        <v>262</v>
      </c>
      <c r="F35" s="2" t="s">
        <v>261</v>
      </c>
      <c r="G35" s="2"/>
      <c r="H35" s="2"/>
      <c r="I35" s="2"/>
      <c r="J35" s="2"/>
      <c r="K35" s="2"/>
      <c r="L35" s="2"/>
      <c r="M35" s="2"/>
      <c r="N35" s="2"/>
      <c r="O35" s="2" t="s">
        <v>263</v>
      </c>
      <c r="P35" s="2" t="s">
        <v>63</v>
      </c>
      <c r="Q35" s="2"/>
      <c r="R35" s="2"/>
      <c r="S35" s="2"/>
      <c r="T35" s="2" t="s">
        <v>264</v>
      </c>
      <c r="U35" s="2" t="s">
        <v>65</v>
      </c>
      <c r="V35" s="2" t="s">
        <v>66</v>
      </c>
      <c r="W35" s="2" t="s">
        <v>66</v>
      </c>
      <c r="X35" s="2" t="s">
        <v>65</v>
      </c>
      <c r="Y35" s="2" t="s">
        <v>245</v>
      </c>
      <c r="Z35" s="2" t="s">
        <v>246</v>
      </c>
      <c r="AA35" s="2" t="s">
        <v>178</v>
      </c>
      <c r="AB35" s="2" t="s">
        <v>70</v>
      </c>
      <c r="AC35" s="2" t="s">
        <v>71</v>
      </c>
      <c r="AD35" s="2" t="s">
        <v>72</v>
      </c>
      <c r="AE35" s="2"/>
      <c r="AF35" s="2"/>
      <c r="AG35" s="2"/>
      <c r="AH35" s="2" t="s">
        <v>381</v>
      </c>
      <c r="AI35" s="2" t="s">
        <v>265</v>
      </c>
      <c r="AJ35" s="2" t="s">
        <v>382</v>
      </c>
      <c r="AK35" s="2" t="s">
        <v>243</v>
      </c>
      <c r="AL35" s="2" t="s">
        <v>383</v>
      </c>
      <c r="AM35" s="2" t="s">
        <v>243</v>
      </c>
      <c r="AN35" s="2" t="s">
        <v>384</v>
      </c>
      <c r="AO35" s="2"/>
      <c r="AP35" s="2" t="s">
        <v>385</v>
      </c>
      <c r="AQ35" s="2" t="s">
        <v>218</v>
      </c>
      <c r="AR35" s="2" t="s">
        <v>219</v>
      </c>
      <c r="AS35" s="2" t="s">
        <v>386</v>
      </c>
      <c r="AT35" s="2"/>
      <c r="AU35" s="2" t="s">
        <v>387</v>
      </c>
      <c r="AV35" s="2" t="s">
        <v>388</v>
      </c>
      <c r="AW35" s="2" t="s">
        <v>73</v>
      </c>
      <c r="AX35" s="2" t="s">
        <v>153</v>
      </c>
      <c r="AY35" s="2" t="s">
        <v>153</v>
      </c>
      <c r="AZ35" s="2" t="s">
        <v>154</v>
      </c>
      <c r="BA35" s="2" t="s">
        <v>153</v>
      </c>
      <c r="BB35" s="2" t="s">
        <v>381</v>
      </c>
      <c r="BC35" s="2" t="s">
        <v>389</v>
      </c>
      <c r="BD35" s="2"/>
      <c r="BE35" s="2"/>
      <c r="BF35" s="2"/>
      <c r="BG35" s="2" t="s">
        <v>90</v>
      </c>
    </row>
    <row r="36" spans="1:59" ht="29" x14ac:dyDescent="0.35">
      <c r="A36" s="4" t="s">
        <v>738</v>
      </c>
      <c r="B36" s="2" t="s">
        <v>260</v>
      </c>
      <c r="C36" s="2" t="s">
        <v>59</v>
      </c>
      <c r="D36" s="2" t="s">
        <v>261</v>
      </c>
      <c r="E36" s="2" t="s">
        <v>262</v>
      </c>
      <c r="F36" s="2" t="s">
        <v>261</v>
      </c>
      <c r="G36" s="2"/>
      <c r="H36" s="2"/>
      <c r="I36" s="2"/>
      <c r="J36" s="2"/>
      <c r="K36" s="2"/>
      <c r="L36" s="2"/>
      <c r="M36" s="2"/>
      <c r="N36" s="2"/>
      <c r="O36" s="2" t="s">
        <v>263</v>
      </c>
      <c r="P36" s="2" t="s">
        <v>63</v>
      </c>
      <c r="Q36" s="2"/>
      <c r="R36" s="2"/>
      <c r="S36" s="2"/>
      <c r="T36" s="2" t="s">
        <v>264</v>
      </c>
      <c r="U36" s="2" t="s">
        <v>65</v>
      </c>
      <c r="V36" s="2" t="s">
        <v>66</v>
      </c>
      <c r="W36" s="2" t="s">
        <v>66</v>
      </c>
      <c r="X36" s="2" t="s">
        <v>65</v>
      </c>
      <c r="Y36" s="2" t="s">
        <v>245</v>
      </c>
      <c r="Z36" s="2" t="s">
        <v>246</v>
      </c>
      <c r="AA36" s="2" t="s">
        <v>178</v>
      </c>
      <c r="AB36" s="2" t="s">
        <v>70</v>
      </c>
      <c r="AC36" s="2" t="s">
        <v>71</v>
      </c>
      <c r="AD36" s="2" t="s">
        <v>72</v>
      </c>
      <c r="AE36" s="2"/>
      <c r="AF36" s="2"/>
      <c r="AG36" s="2"/>
      <c r="AH36" s="2" t="s">
        <v>381</v>
      </c>
      <c r="AI36" s="2" t="s">
        <v>265</v>
      </c>
      <c r="AJ36" s="2" t="s">
        <v>382</v>
      </c>
      <c r="AK36" s="2" t="s">
        <v>243</v>
      </c>
      <c r="AL36" s="2" t="s">
        <v>383</v>
      </c>
      <c r="AM36" s="2" t="s">
        <v>243</v>
      </c>
      <c r="AN36" s="2" t="s">
        <v>384</v>
      </c>
      <c r="AO36" s="2"/>
      <c r="AP36" s="2" t="s">
        <v>385</v>
      </c>
      <c r="AQ36" s="2" t="s">
        <v>218</v>
      </c>
      <c r="AR36" s="2" t="s">
        <v>219</v>
      </c>
      <c r="AS36" s="2" t="s">
        <v>386</v>
      </c>
      <c r="AT36" s="2"/>
      <c r="AU36" s="2" t="s">
        <v>387</v>
      </c>
      <c r="AV36" s="2" t="s">
        <v>388</v>
      </c>
      <c r="AW36" s="2" t="s">
        <v>91</v>
      </c>
      <c r="AX36" s="2" t="s">
        <v>224</v>
      </c>
      <c r="AY36" s="2"/>
      <c r="AZ36" s="2" t="s">
        <v>161</v>
      </c>
      <c r="BA36" s="2" t="s">
        <v>225</v>
      </c>
      <c r="BB36" s="2" t="s">
        <v>390</v>
      </c>
      <c r="BC36" s="2" t="s">
        <v>391</v>
      </c>
      <c r="BD36" s="2"/>
      <c r="BE36" s="2"/>
      <c r="BF36" s="2"/>
      <c r="BG36" s="2" t="s">
        <v>90</v>
      </c>
    </row>
    <row r="37" spans="1:59" ht="29" x14ac:dyDescent="0.35">
      <c r="A37" s="4" t="s">
        <v>738</v>
      </c>
      <c r="B37" s="2" t="s">
        <v>260</v>
      </c>
      <c r="C37" s="2" t="s">
        <v>59</v>
      </c>
      <c r="D37" s="2" t="s">
        <v>261</v>
      </c>
      <c r="E37" s="2" t="s">
        <v>262</v>
      </c>
      <c r="F37" s="2" t="s">
        <v>261</v>
      </c>
      <c r="G37" s="2"/>
      <c r="H37" s="2"/>
      <c r="I37" s="2"/>
      <c r="J37" s="2"/>
      <c r="K37" s="2"/>
      <c r="L37" s="2"/>
      <c r="M37" s="2"/>
      <c r="N37" s="2"/>
      <c r="O37" s="2" t="s">
        <v>263</v>
      </c>
      <c r="P37" s="2" t="s">
        <v>63</v>
      </c>
      <c r="Q37" s="2"/>
      <c r="R37" s="2"/>
      <c r="S37" s="2"/>
      <c r="T37" s="2" t="s">
        <v>264</v>
      </c>
      <c r="U37" s="2" t="s">
        <v>65</v>
      </c>
      <c r="V37" s="2" t="s">
        <v>66</v>
      </c>
      <c r="W37" s="2" t="s">
        <v>66</v>
      </c>
      <c r="X37" s="2" t="s">
        <v>65</v>
      </c>
      <c r="Y37" s="2" t="s">
        <v>245</v>
      </c>
      <c r="Z37" s="2" t="s">
        <v>246</v>
      </c>
      <c r="AA37" s="2" t="s">
        <v>178</v>
      </c>
      <c r="AB37" s="2" t="s">
        <v>70</v>
      </c>
      <c r="AC37" s="2" t="s">
        <v>71</v>
      </c>
      <c r="AD37" s="2" t="s">
        <v>72</v>
      </c>
      <c r="AE37" s="2"/>
      <c r="AF37" s="2"/>
      <c r="AG37" s="2"/>
      <c r="AH37" s="2" t="s">
        <v>381</v>
      </c>
      <c r="AI37" s="2" t="s">
        <v>265</v>
      </c>
      <c r="AJ37" s="2" t="s">
        <v>382</v>
      </c>
      <c r="AK37" s="2" t="s">
        <v>243</v>
      </c>
      <c r="AL37" s="2" t="s">
        <v>383</v>
      </c>
      <c r="AM37" s="2" t="s">
        <v>243</v>
      </c>
      <c r="AN37" s="2" t="s">
        <v>384</v>
      </c>
      <c r="AO37" s="2"/>
      <c r="AP37" s="2" t="s">
        <v>385</v>
      </c>
      <c r="AQ37" s="2" t="s">
        <v>218</v>
      </c>
      <c r="AR37" s="2" t="s">
        <v>219</v>
      </c>
      <c r="AS37" s="2" t="s">
        <v>386</v>
      </c>
      <c r="AT37" s="2"/>
      <c r="AU37" s="2" t="s">
        <v>387</v>
      </c>
      <c r="AV37" s="2" t="s">
        <v>388</v>
      </c>
      <c r="AW37" s="2" t="s">
        <v>88</v>
      </c>
      <c r="AX37" s="2" t="s">
        <v>160</v>
      </c>
      <c r="AY37" s="2" t="s">
        <v>153</v>
      </c>
      <c r="AZ37" s="2" t="s">
        <v>161</v>
      </c>
      <c r="BA37" s="2" t="s">
        <v>160</v>
      </c>
      <c r="BB37" s="2" t="s">
        <v>381</v>
      </c>
      <c r="BC37" s="2" t="s">
        <v>389</v>
      </c>
      <c r="BD37" s="2"/>
      <c r="BE37" s="2"/>
      <c r="BF37" s="2"/>
      <c r="BG37" s="2" t="s">
        <v>90</v>
      </c>
    </row>
    <row r="38" spans="1:59" ht="29" x14ac:dyDescent="0.35">
      <c r="A38" s="4" t="s">
        <v>738</v>
      </c>
      <c r="B38" s="2" t="s">
        <v>260</v>
      </c>
      <c r="C38" s="2" t="s">
        <v>59</v>
      </c>
      <c r="D38" s="2" t="s">
        <v>261</v>
      </c>
      <c r="E38" s="2" t="s">
        <v>262</v>
      </c>
      <c r="F38" s="2" t="s">
        <v>261</v>
      </c>
      <c r="G38" s="2"/>
      <c r="H38" s="2"/>
      <c r="I38" s="2"/>
      <c r="J38" s="2"/>
      <c r="K38" s="2"/>
      <c r="L38" s="2"/>
      <c r="M38" s="2"/>
      <c r="N38" s="2"/>
      <c r="O38" s="2" t="s">
        <v>263</v>
      </c>
      <c r="P38" s="2" t="s">
        <v>63</v>
      </c>
      <c r="Q38" s="2"/>
      <c r="R38" s="2"/>
      <c r="S38" s="2"/>
      <c r="T38" s="2" t="s">
        <v>264</v>
      </c>
      <c r="U38" s="2" t="s">
        <v>65</v>
      </c>
      <c r="V38" s="2" t="s">
        <v>66</v>
      </c>
      <c r="W38" s="2" t="s">
        <v>66</v>
      </c>
      <c r="X38" s="2" t="s">
        <v>65</v>
      </c>
      <c r="Y38" s="2" t="s">
        <v>245</v>
      </c>
      <c r="Z38" s="2" t="s">
        <v>246</v>
      </c>
      <c r="AA38" s="2" t="s">
        <v>143</v>
      </c>
      <c r="AB38" s="2" t="s">
        <v>70</v>
      </c>
      <c r="AC38" s="2" t="s">
        <v>71</v>
      </c>
      <c r="AD38" s="2" t="s">
        <v>72</v>
      </c>
      <c r="AE38" s="2"/>
      <c r="AF38" s="2"/>
      <c r="AG38" s="2"/>
      <c r="AH38" s="2" t="s">
        <v>73</v>
      </c>
      <c r="AI38" s="2" t="s">
        <v>265</v>
      </c>
      <c r="AJ38" s="2" t="s">
        <v>392</v>
      </c>
      <c r="AK38" s="2" t="s">
        <v>250</v>
      </c>
      <c r="AL38" s="2" t="s">
        <v>393</v>
      </c>
      <c r="AM38" s="2" t="s">
        <v>394</v>
      </c>
      <c r="AN38" s="2" t="s">
        <v>230</v>
      </c>
      <c r="AO38" s="2"/>
      <c r="AP38" s="2" t="s">
        <v>395</v>
      </c>
      <c r="AQ38" s="2" t="s">
        <v>231</v>
      </c>
      <c r="AR38" s="2" t="s">
        <v>232</v>
      </c>
      <c r="AS38" s="2" t="s">
        <v>393</v>
      </c>
      <c r="AT38" s="2"/>
      <c r="AU38" s="2" t="s">
        <v>396</v>
      </c>
      <c r="AV38" s="2" t="s">
        <v>397</v>
      </c>
      <c r="AW38" s="2" t="s">
        <v>73</v>
      </c>
      <c r="AX38" s="2" t="s">
        <v>235</v>
      </c>
      <c r="AY38" s="2"/>
      <c r="AZ38" s="2" t="s">
        <v>236</v>
      </c>
      <c r="BA38" s="2" t="s">
        <v>237</v>
      </c>
      <c r="BB38" s="2" t="s">
        <v>238</v>
      </c>
      <c r="BC38" s="2" t="s">
        <v>239</v>
      </c>
      <c r="BD38" s="2"/>
      <c r="BE38" s="2"/>
      <c r="BF38" s="2"/>
      <c r="BG38" s="2" t="s">
        <v>90</v>
      </c>
    </row>
    <row r="39" spans="1:59" ht="29" x14ac:dyDescent="0.35">
      <c r="A39" s="4" t="s">
        <v>738</v>
      </c>
      <c r="B39" s="2" t="s">
        <v>260</v>
      </c>
      <c r="C39" s="2" t="s">
        <v>59</v>
      </c>
      <c r="D39" s="2" t="s">
        <v>261</v>
      </c>
      <c r="E39" s="2" t="s">
        <v>262</v>
      </c>
      <c r="F39" s="2" t="s">
        <v>261</v>
      </c>
      <c r="G39" s="2"/>
      <c r="H39" s="2"/>
      <c r="I39" s="2"/>
      <c r="J39" s="2"/>
      <c r="K39" s="2"/>
      <c r="L39" s="2"/>
      <c r="M39" s="2"/>
      <c r="N39" s="2"/>
      <c r="O39" s="2" t="s">
        <v>263</v>
      </c>
      <c r="P39" s="2" t="s">
        <v>63</v>
      </c>
      <c r="Q39" s="2"/>
      <c r="R39" s="2"/>
      <c r="S39" s="2"/>
      <c r="T39" s="2" t="s">
        <v>264</v>
      </c>
      <c r="U39" s="2" t="s">
        <v>65</v>
      </c>
      <c r="V39" s="2" t="s">
        <v>66</v>
      </c>
      <c r="W39" s="2" t="s">
        <v>66</v>
      </c>
      <c r="X39" s="2" t="s">
        <v>65</v>
      </c>
      <c r="Y39" s="2" t="s">
        <v>398</v>
      </c>
      <c r="Z39" s="2" t="s">
        <v>399</v>
      </c>
      <c r="AA39" s="2" t="s">
        <v>91</v>
      </c>
      <c r="AB39" s="2" t="s">
        <v>70</v>
      </c>
      <c r="AC39" s="2" t="s">
        <v>71</v>
      </c>
      <c r="AD39" s="2" t="s">
        <v>72</v>
      </c>
      <c r="AE39" s="2"/>
      <c r="AF39" s="2"/>
      <c r="AG39" s="2"/>
      <c r="AH39" s="2" t="s">
        <v>73</v>
      </c>
      <c r="AI39" s="2" t="s">
        <v>265</v>
      </c>
      <c r="AJ39" s="2" t="s">
        <v>400</v>
      </c>
      <c r="AK39" s="2" t="s">
        <v>401</v>
      </c>
      <c r="AL39" s="2" t="s">
        <v>402</v>
      </c>
      <c r="AM39" s="2" t="s">
        <v>401</v>
      </c>
      <c r="AN39" s="2" t="s">
        <v>403</v>
      </c>
      <c r="AO39" s="2"/>
      <c r="AP39" s="2"/>
      <c r="AQ39" s="2" t="s">
        <v>404</v>
      </c>
      <c r="AR39" s="2" t="s">
        <v>405</v>
      </c>
      <c r="AS39" s="2" t="s">
        <v>406</v>
      </c>
      <c r="AT39" s="2"/>
      <c r="AU39" s="2" t="s">
        <v>407</v>
      </c>
      <c r="AV39" s="2" t="s">
        <v>97</v>
      </c>
      <c r="AW39" s="2" t="s">
        <v>73</v>
      </c>
      <c r="AX39" s="2" t="s">
        <v>408</v>
      </c>
      <c r="AY39" s="2"/>
      <c r="AZ39" s="2" t="s">
        <v>409</v>
      </c>
      <c r="BA39" s="2" t="s">
        <v>410</v>
      </c>
      <c r="BB39" s="2" t="s">
        <v>73</v>
      </c>
      <c r="BC39" s="2" t="s">
        <v>411</v>
      </c>
      <c r="BD39" s="2"/>
      <c r="BE39" s="2"/>
      <c r="BF39" s="2"/>
      <c r="BG39" s="2" t="s">
        <v>90</v>
      </c>
    </row>
    <row r="40" spans="1:59" ht="29" x14ac:dyDescent="0.35">
      <c r="A40" s="4" t="s">
        <v>738</v>
      </c>
      <c r="B40" s="2" t="s">
        <v>260</v>
      </c>
      <c r="C40" s="2" t="s">
        <v>59</v>
      </c>
      <c r="D40" s="2" t="s">
        <v>261</v>
      </c>
      <c r="E40" s="2" t="s">
        <v>262</v>
      </c>
      <c r="F40" s="2" t="s">
        <v>261</v>
      </c>
      <c r="G40" s="2"/>
      <c r="H40" s="2"/>
      <c r="I40" s="2"/>
      <c r="J40" s="2"/>
      <c r="K40" s="2"/>
      <c r="L40" s="2"/>
      <c r="M40" s="2"/>
      <c r="N40" s="2"/>
      <c r="O40" s="2" t="s">
        <v>263</v>
      </c>
      <c r="P40" s="2" t="s">
        <v>63</v>
      </c>
      <c r="Q40" s="2"/>
      <c r="R40" s="2"/>
      <c r="S40" s="2"/>
      <c r="T40" s="2" t="s">
        <v>264</v>
      </c>
      <c r="U40" s="2" t="s">
        <v>65</v>
      </c>
      <c r="V40" s="2" t="s">
        <v>66</v>
      </c>
      <c r="W40" s="2" t="s">
        <v>66</v>
      </c>
      <c r="X40" s="2" t="s">
        <v>65</v>
      </c>
      <c r="Y40" s="2" t="s">
        <v>398</v>
      </c>
      <c r="Z40" s="2" t="s">
        <v>399</v>
      </c>
      <c r="AA40" s="2" t="s">
        <v>88</v>
      </c>
      <c r="AB40" s="2" t="s">
        <v>70</v>
      </c>
      <c r="AC40" s="2" t="s">
        <v>71</v>
      </c>
      <c r="AD40" s="2" t="s">
        <v>72</v>
      </c>
      <c r="AE40" s="2"/>
      <c r="AF40" s="2"/>
      <c r="AG40" s="2"/>
      <c r="AH40" s="2" t="s">
        <v>73</v>
      </c>
      <c r="AI40" s="2" t="s">
        <v>265</v>
      </c>
      <c r="AJ40" s="2" t="s">
        <v>412</v>
      </c>
      <c r="AK40" s="2" t="s">
        <v>301</v>
      </c>
      <c r="AL40" s="2" t="s">
        <v>413</v>
      </c>
      <c r="AM40" s="2" t="s">
        <v>414</v>
      </c>
      <c r="AN40" s="2" t="s">
        <v>415</v>
      </c>
      <c r="AO40" s="2"/>
      <c r="AP40" s="2"/>
      <c r="AQ40" s="2" t="s">
        <v>404</v>
      </c>
      <c r="AR40" s="2" t="s">
        <v>405</v>
      </c>
      <c r="AS40" s="2" t="s">
        <v>416</v>
      </c>
      <c r="AT40" s="2"/>
      <c r="AU40" s="2" t="s">
        <v>407</v>
      </c>
      <c r="AV40" s="2" t="s">
        <v>97</v>
      </c>
      <c r="AW40" s="2" t="s">
        <v>73</v>
      </c>
      <c r="AX40" s="2" t="s">
        <v>417</v>
      </c>
      <c r="AY40" s="2"/>
      <c r="AZ40" s="2" t="s">
        <v>418</v>
      </c>
      <c r="BA40" s="2" t="s">
        <v>419</v>
      </c>
      <c r="BB40" s="2" t="s">
        <v>285</v>
      </c>
      <c r="BC40" s="2" t="s">
        <v>420</v>
      </c>
      <c r="BD40" s="2"/>
      <c r="BE40" s="2"/>
      <c r="BF40" s="2"/>
      <c r="BG40" s="2" t="s">
        <v>90</v>
      </c>
    </row>
    <row r="41" spans="1:59" ht="29" x14ac:dyDescent="0.35">
      <c r="A41" s="4" t="s">
        <v>738</v>
      </c>
      <c r="B41" s="2" t="s">
        <v>260</v>
      </c>
      <c r="C41" s="2" t="s">
        <v>59</v>
      </c>
      <c r="D41" s="2" t="s">
        <v>261</v>
      </c>
      <c r="E41" s="2" t="s">
        <v>262</v>
      </c>
      <c r="F41" s="2" t="s">
        <v>261</v>
      </c>
      <c r="G41" s="2"/>
      <c r="H41" s="2"/>
      <c r="I41" s="2"/>
      <c r="J41" s="2"/>
      <c r="K41" s="2"/>
      <c r="L41" s="2"/>
      <c r="M41" s="2"/>
      <c r="N41" s="2"/>
      <c r="O41" s="2" t="s">
        <v>263</v>
      </c>
      <c r="P41" s="2" t="s">
        <v>63</v>
      </c>
      <c r="Q41" s="2"/>
      <c r="R41" s="2"/>
      <c r="S41" s="2"/>
      <c r="T41" s="2" t="s">
        <v>264</v>
      </c>
      <c r="U41" s="2" t="s">
        <v>65</v>
      </c>
      <c r="V41" s="2" t="s">
        <v>66</v>
      </c>
      <c r="W41" s="2" t="s">
        <v>66</v>
      </c>
      <c r="X41" s="2" t="s">
        <v>65</v>
      </c>
      <c r="Y41" s="2" t="s">
        <v>398</v>
      </c>
      <c r="Z41" s="2" t="s">
        <v>399</v>
      </c>
      <c r="AA41" s="2" t="s">
        <v>143</v>
      </c>
      <c r="AB41" s="2" t="s">
        <v>70</v>
      </c>
      <c r="AC41" s="2" t="s">
        <v>71</v>
      </c>
      <c r="AD41" s="2" t="s">
        <v>72</v>
      </c>
      <c r="AE41" s="2"/>
      <c r="AF41" s="2"/>
      <c r="AG41" s="2"/>
      <c r="AH41" s="2" t="s">
        <v>73</v>
      </c>
      <c r="AI41" s="2" t="s">
        <v>265</v>
      </c>
      <c r="AJ41" s="2" t="s">
        <v>421</v>
      </c>
      <c r="AK41" s="2" t="s">
        <v>250</v>
      </c>
      <c r="AL41" s="2" t="s">
        <v>422</v>
      </c>
      <c r="AM41" s="2" t="s">
        <v>77</v>
      </c>
      <c r="AN41" s="2" t="s">
        <v>423</v>
      </c>
      <c r="AO41" s="2"/>
      <c r="AP41" s="2"/>
      <c r="AQ41" s="2" t="s">
        <v>404</v>
      </c>
      <c r="AR41" s="2" t="s">
        <v>405</v>
      </c>
      <c r="AS41" s="2" t="s">
        <v>424</v>
      </c>
      <c r="AT41" s="2"/>
      <c r="AU41" s="2" t="s">
        <v>407</v>
      </c>
      <c r="AV41" s="2" t="s">
        <v>97</v>
      </c>
      <c r="AW41" s="2" t="s">
        <v>73</v>
      </c>
      <c r="AX41" s="2" t="s">
        <v>425</v>
      </c>
      <c r="AY41" s="2"/>
      <c r="AZ41" s="2" t="s">
        <v>426</v>
      </c>
      <c r="BA41" s="2" t="s">
        <v>427</v>
      </c>
      <c r="BB41" s="2" t="s">
        <v>73</v>
      </c>
      <c r="BC41" s="2" t="s">
        <v>428</v>
      </c>
      <c r="BD41" s="2"/>
      <c r="BE41" s="2"/>
      <c r="BF41" s="2"/>
      <c r="BG41" s="2" t="s">
        <v>90</v>
      </c>
    </row>
    <row r="42" spans="1:59" ht="29" x14ac:dyDescent="0.35">
      <c r="A42" s="4" t="s">
        <v>738</v>
      </c>
      <c r="B42" s="2" t="s">
        <v>260</v>
      </c>
      <c r="C42" s="2" t="s">
        <v>59</v>
      </c>
      <c r="D42" s="2" t="s">
        <v>261</v>
      </c>
      <c r="E42" s="2" t="s">
        <v>262</v>
      </c>
      <c r="F42" s="2" t="s">
        <v>261</v>
      </c>
      <c r="G42" s="2"/>
      <c r="H42" s="2"/>
      <c r="I42" s="2"/>
      <c r="J42" s="2"/>
      <c r="K42" s="2"/>
      <c r="L42" s="2"/>
      <c r="M42" s="2"/>
      <c r="N42" s="2"/>
      <c r="O42" s="2" t="s">
        <v>263</v>
      </c>
      <c r="P42" s="2" t="s">
        <v>63</v>
      </c>
      <c r="Q42" s="2"/>
      <c r="R42" s="2"/>
      <c r="S42" s="2"/>
      <c r="T42" s="2" t="s">
        <v>264</v>
      </c>
      <c r="U42" s="2" t="s">
        <v>65</v>
      </c>
      <c r="V42" s="2" t="s">
        <v>66</v>
      </c>
      <c r="W42" s="2" t="s">
        <v>66</v>
      </c>
      <c r="X42" s="2" t="s">
        <v>65</v>
      </c>
      <c r="Y42" s="2" t="s">
        <v>398</v>
      </c>
      <c r="Z42" s="2" t="s">
        <v>399</v>
      </c>
      <c r="AA42" s="2" t="s">
        <v>69</v>
      </c>
      <c r="AB42" s="2" t="s">
        <v>70</v>
      </c>
      <c r="AC42" s="2" t="s">
        <v>71</v>
      </c>
      <c r="AD42" s="2" t="s">
        <v>72</v>
      </c>
      <c r="AE42" s="2"/>
      <c r="AF42" s="2"/>
      <c r="AG42" s="2"/>
      <c r="AH42" s="2" t="s">
        <v>73</v>
      </c>
      <c r="AI42" s="2" t="s">
        <v>265</v>
      </c>
      <c r="AJ42" s="2" t="s">
        <v>429</v>
      </c>
      <c r="AK42" s="2" t="s">
        <v>250</v>
      </c>
      <c r="AL42" s="2" t="s">
        <v>430</v>
      </c>
      <c r="AM42" s="2" t="s">
        <v>117</v>
      </c>
      <c r="AN42" s="2" t="s">
        <v>431</v>
      </c>
      <c r="AO42" s="2"/>
      <c r="AP42" s="2"/>
      <c r="AQ42" s="2" t="s">
        <v>404</v>
      </c>
      <c r="AR42" s="2" t="s">
        <v>405</v>
      </c>
      <c r="AS42" s="2" t="s">
        <v>432</v>
      </c>
      <c r="AT42" s="2"/>
      <c r="AU42" s="2" t="s">
        <v>407</v>
      </c>
      <c r="AV42" s="2" t="s">
        <v>97</v>
      </c>
      <c r="AW42" s="2" t="s">
        <v>73</v>
      </c>
      <c r="AX42" s="2" t="s">
        <v>433</v>
      </c>
      <c r="AY42" s="2"/>
      <c r="AZ42" s="2" t="s">
        <v>434</v>
      </c>
      <c r="BA42" s="2" t="s">
        <v>435</v>
      </c>
      <c r="BB42" s="2" t="s">
        <v>73</v>
      </c>
      <c r="BC42" s="2" t="s">
        <v>436</v>
      </c>
      <c r="BD42" s="2"/>
      <c r="BE42" s="2"/>
      <c r="BF42" s="2"/>
      <c r="BG42" s="2" t="s">
        <v>90</v>
      </c>
    </row>
    <row r="43" spans="1:59" ht="29" x14ac:dyDescent="0.35">
      <c r="A43" s="4" t="s">
        <v>738</v>
      </c>
      <c r="B43" s="2" t="s">
        <v>260</v>
      </c>
      <c r="C43" s="2" t="s">
        <v>59</v>
      </c>
      <c r="D43" s="2" t="s">
        <v>261</v>
      </c>
      <c r="E43" s="2" t="s">
        <v>262</v>
      </c>
      <c r="F43" s="2" t="s">
        <v>261</v>
      </c>
      <c r="G43" s="2"/>
      <c r="H43" s="2"/>
      <c r="I43" s="2"/>
      <c r="J43" s="2"/>
      <c r="K43" s="2"/>
      <c r="L43" s="2"/>
      <c r="M43" s="2"/>
      <c r="N43" s="2"/>
      <c r="O43" s="2" t="s">
        <v>263</v>
      </c>
      <c r="P43" s="2" t="s">
        <v>63</v>
      </c>
      <c r="Q43" s="2"/>
      <c r="R43" s="2"/>
      <c r="S43" s="2"/>
      <c r="T43" s="2" t="s">
        <v>264</v>
      </c>
      <c r="U43" s="2" t="s">
        <v>65</v>
      </c>
      <c r="V43" s="2" t="s">
        <v>66</v>
      </c>
      <c r="W43" s="2" t="s">
        <v>66</v>
      </c>
      <c r="X43" s="2" t="s">
        <v>65</v>
      </c>
      <c r="Y43" s="2" t="s">
        <v>398</v>
      </c>
      <c r="Z43" s="2" t="s">
        <v>399</v>
      </c>
      <c r="AA43" s="2" t="s">
        <v>73</v>
      </c>
      <c r="AB43" s="2" t="s">
        <v>70</v>
      </c>
      <c r="AC43" s="2" t="s">
        <v>71</v>
      </c>
      <c r="AD43" s="2" t="s">
        <v>72</v>
      </c>
      <c r="AE43" s="2"/>
      <c r="AF43" s="2"/>
      <c r="AG43" s="2"/>
      <c r="AH43" s="2" t="s">
        <v>73</v>
      </c>
      <c r="AI43" s="2" t="s">
        <v>265</v>
      </c>
      <c r="AJ43" s="2" t="s">
        <v>437</v>
      </c>
      <c r="AK43" s="2" t="s">
        <v>243</v>
      </c>
      <c r="AL43" s="2" t="s">
        <v>438</v>
      </c>
      <c r="AM43" s="2" t="s">
        <v>62</v>
      </c>
      <c r="AN43" s="2" t="s">
        <v>439</v>
      </c>
      <c r="AO43" s="2"/>
      <c r="AP43" s="2"/>
      <c r="AQ43" s="2" t="s">
        <v>440</v>
      </c>
      <c r="AR43" s="2" t="s">
        <v>441</v>
      </c>
      <c r="AS43" s="2" t="s">
        <v>442</v>
      </c>
      <c r="AT43" s="2"/>
      <c r="AU43" s="2" t="s">
        <v>73</v>
      </c>
      <c r="AV43" s="2" t="s">
        <v>443</v>
      </c>
      <c r="AW43" s="2" t="s">
        <v>73</v>
      </c>
      <c r="AX43" s="2" t="s">
        <v>444</v>
      </c>
      <c r="AY43" s="2"/>
      <c r="AZ43" s="2" t="s">
        <v>368</v>
      </c>
      <c r="BA43" s="2" t="s">
        <v>445</v>
      </c>
      <c r="BB43" s="2" t="s">
        <v>446</v>
      </c>
      <c r="BC43" s="2" t="s">
        <v>447</v>
      </c>
      <c r="BD43" s="2"/>
      <c r="BE43" s="2"/>
      <c r="BF43" s="2"/>
      <c r="BG43" s="2" t="s">
        <v>90</v>
      </c>
    </row>
    <row r="44" spans="1:59" ht="102" x14ac:dyDescent="0.4">
      <c r="A44" s="5" t="s">
        <v>739</v>
      </c>
      <c r="B44" s="2" t="s">
        <v>448</v>
      </c>
      <c r="C44" s="2" t="s">
        <v>59</v>
      </c>
      <c r="D44" s="2" t="s">
        <v>261</v>
      </c>
      <c r="E44" s="2" t="s">
        <v>262</v>
      </c>
      <c r="F44" s="2" t="s">
        <v>261</v>
      </c>
      <c r="G44" s="2"/>
      <c r="H44" s="2"/>
      <c r="I44" s="2"/>
      <c r="J44" s="2"/>
      <c r="K44" s="2"/>
      <c r="L44" s="2"/>
      <c r="M44" s="2"/>
      <c r="N44" s="2"/>
      <c r="O44" s="2" t="s">
        <v>449</v>
      </c>
      <c r="P44" s="2" t="s">
        <v>63</v>
      </c>
      <c r="Q44" s="2"/>
      <c r="R44" s="2"/>
      <c r="S44" s="2"/>
      <c r="T44" s="2" t="s">
        <v>450</v>
      </c>
      <c r="U44" s="2" t="s">
        <v>65</v>
      </c>
      <c r="V44" s="2" t="s">
        <v>66</v>
      </c>
      <c r="W44" s="2" t="s">
        <v>66</v>
      </c>
      <c r="X44" s="2" t="s">
        <v>65</v>
      </c>
      <c r="Y44" s="2" t="s">
        <v>451</v>
      </c>
      <c r="Z44" s="2" t="s">
        <v>452</v>
      </c>
      <c r="AA44" s="2" t="s">
        <v>73</v>
      </c>
      <c r="AB44" s="2" t="s">
        <v>70</v>
      </c>
      <c r="AC44" s="2" t="s">
        <v>71</v>
      </c>
      <c r="AD44" s="2" t="s">
        <v>72</v>
      </c>
      <c r="AE44" s="2"/>
      <c r="AF44" s="2"/>
      <c r="AG44" s="2"/>
      <c r="AH44" s="2" t="s">
        <v>453</v>
      </c>
      <c r="AI44" s="2" t="s">
        <v>454</v>
      </c>
      <c r="AJ44" s="2" t="s">
        <v>455</v>
      </c>
      <c r="AK44" s="2" t="s">
        <v>187</v>
      </c>
      <c r="AL44" s="2" t="s">
        <v>456</v>
      </c>
      <c r="AM44" s="2" t="s">
        <v>203</v>
      </c>
      <c r="AN44" s="2" t="s">
        <v>457</v>
      </c>
      <c r="AO44" s="2"/>
      <c r="AP44" s="2" t="s">
        <v>458</v>
      </c>
      <c r="AQ44" s="2" t="s">
        <v>459</v>
      </c>
      <c r="AR44" s="2" t="s">
        <v>460</v>
      </c>
      <c r="AS44" s="2" t="s">
        <v>461</v>
      </c>
      <c r="AT44" s="2"/>
      <c r="AU44" s="2" t="s">
        <v>462</v>
      </c>
      <c r="AV44" s="2" t="s">
        <v>463</v>
      </c>
      <c r="AW44" s="2" t="s">
        <v>73</v>
      </c>
      <c r="AX44" s="2" t="s">
        <v>464</v>
      </c>
      <c r="AY44" s="2"/>
      <c r="AZ44" s="2" t="s">
        <v>465</v>
      </c>
      <c r="BA44" s="2" t="s">
        <v>466</v>
      </c>
      <c r="BB44" s="2" t="s">
        <v>69</v>
      </c>
      <c r="BC44" s="2" t="s">
        <v>467</v>
      </c>
      <c r="BD44" s="2"/>
      <c r="BE44" s="2"/>
      <c r="BF44" s="2"/>
      <c r="BG44" s="2" t="s">
        <v>90</v>
      </c>
    </row>
    <row r="45" spans="1:59" ht="131" x14ac:dyDescent="0.4">
      <c r="A45" s="5" t="s">
        <v>739</v>
      </c>
      <c r="B45" s="2" t="s">
        <v>448</v>
      </c>
      <c r="C45" s="2" t="s">
        <v>59</v>
      </c>
      <c r="D45" s="2" t="s">
        <v>261</v>
      </c>
      <c r="E45" s="2" t="s">
        <v>262</v>
      </c>
      <c r="F45" s="2" t="s">
        <v>261</v>
      </c>
      <c r="G45" s="2"/>
      <c r="H45" s="2"/>
      <c r="I45" s="2"/>
      <c r="J45" s="2"/>
      <c r="K45" s="2"/>
      <c r="L45" s="2"/>
      <c r="M45" s="2"/>
      <c r="N45" s="2"/>
      <c r="O45" s="2" t="s">
        <v>449</v>
      </c>
      <c r="P45" s="2" t="s">
        <v>63</v>
      </c>
      <c r="Q45" s="2"/>
      <c r="R45" s="2"/>
      <c r="S45" s="2"/>
      <c r="T45" s="2" t="s">
        <v>450</v>
      </c>
      <c r="U45" s="2" t="s">
        <v>65</v>
      </c>
      <c r="V45" s="2" t="s">
        <v>66</v>
      </c>
      <c r="W45" s="2" t="s">
        <v>66</v>
      </c>
      <c r="X45" s="2" t="s">
        <v>65</v>
      </c>
      <c r="Y45" s="2" t="s">
        <v>451</v>
      </c>
      <c r="Z45" s="2" t="s">
        <v>452</v>
      </c>
      <c r="AA45" s="2" t="s">
        <v>73</v>
      </c>
      <c r="AB45" s="2" t="s">
        <v>70</v>
      </c>
      <c r="AC45" s="2" t="s">
        <v>71</v>
      </c>
      <c r="AD45" s="2" t="s">
        <v>72</v>
      </c>
      <c r="AE45" s="2"/>
      <c r="AF45" s="2"/>
      <c r="AG45" s="2"/>
      <c r="AH45" s="2" t="s">
        <v>453</v>
      </c>
      <c r="AI45" s="2" t="s">
        <v>454</v>
      </c>
      <c r="AJ45" s="2" t="s">
        <v>455</v>
      </c>
      <c r="AK45" s="2" t="s">
        <v>187</v>
      </c>
      <c r="AL45" s="2" t="s">
        <v>456</v>
      </c>
      <c r="AM45" s="2" t="s">
        <v>203</v>
      </c>
      <c r="AN45" s="2" t="s">
        <v>457</v>
      </c>
      <c r="AO45" s="2"/>
      <c r="AP45" s="2" t="s">
        <v>458</v>
      </c>
      <c r="AQ45" s="2" t="s">
        <v>459</v>
      </c>
      <c r="AR45" s="2" t="s">
        <v>460</v>
      </c>
      <c r="AS45" s="2" t="s">
        <v>461</v>
      </c>
      <c r="AT45" s="2"/>
      <c r="AU45" s="2" t="s">
        <v>462</v>
      </c>
      <c r="AV45" s="2" t="s">
        <v>463</v>
      </c>
      <c r="AW45" s="2" t="s">
        <v>91</v>
      </c>
      <c r="AX45" s="2" t="s">
        <v>468</v>
      </c>
      <c r="AY45" s="2"/>
      <c r="AZ45" s="2" t="s">
        <v>469</v>
      </c>
      <c r="BA45" s="2" t="s">
        <v>470</v>
      </c>
      <c r="BB45" s="2" t="s">
        <v>73</v>
      </c>
      <c r="BC45" s="2" t="s">
        <v>471</v>
      </c>
      <c r="BD45" s="2"/>
      <c r="BE45" s="2"/>
      <c r="BF45" s="2"/>
      <c r="BG45" s="2" t="s">
        <v>90</v>
      </c>
    </row>
    <row r="46" spans="1:59" ht="116.5" x14ac:dyDescent="0.4">
      <c r="A46" s="5" t="s">
        <v>739</v>
      </c>
      <c r="B46" s="2" t="s">
        <v>448</v>
      </c>
      <c r="C46" s="2" t="s">
        <v>59</v>
      </c>
      <c r="D46" s="2" t="s">
        <v>261</v>
      </c>
      <c r="E46" s="2" t="s">
        <v>262</v>
      </c>
      <c r="F46" s="2" t="s">
        <v>261</v>
      </c>
      <c r="G46" s="2"/>
      <c r="H46" s="2"/>
      <c r="I46" s="2"/>
      <c r="J46" s="2"/>
      <c r="K46" s="2"/>
      <c r="L46" s="2"/>
      <c r="M46" s="2"/>
      <c r="N46" s="2"/>
      <c r="O46" s="2" t="s">
        <v>449</v>
      </c>
      <c r="P46" s="2" t="s">
        <v>63</v>
      </c>
      <c r="Q46" s="2"/>
      <c r="R46" s="2"/>
      <c r="S46" s="2"/>
      <c r="T46" s="2" t="s">
        <v>450</v>
      </c>
      <c r="U46" s="2" t="s">
        <v>65</v>
      </c>
      <c r="V46" s="2" t="s">
        <v>66</v>
      </c>
      <c r="W46" s="2" t="s">
        <v>66</v>
      </c>
      <c r="X46" s="2" t="s">
        <v>65</v>
      </c>
      <c r="Y46" s="2" t="s">
        <v>451</v>
      </c>
      <c r="Z46" s="2" t="s">
        <v>452</v>
      </c>
      <c r="AA46" s="2" t="s">
        <v>73</v>
      </c>
      <c r="AB46" s="2" t="s">
        <v>70</v>
      </c>
      <c r="AC46" s="2" t="s">
        <v>71</v>
      </c>
      <c r="AD46" s="2" t="s">
        <v>72</v>
      </c>
      <c r="AE46" s="2"/>
      <c r="AF46" s="2"/>
      <c r="AG46" s="2"/>
      <c r="AH46" s="2" t="s">
        <v>453</v>
      </c>
      <c r="AI46" s="2" t="s">
        <v>454</v>
      </c>
      <c r="AJ46" s="2" t="s">
        <v>455</v>
      </c>
      <c r="AK46" s="2" t="s">
        <v>187</v>
      </c>
      <c r="AL46" s="2" t="s">
        <v>456</v>
      </c>
      <c r="AM46" s="2" t="s">
        <v>203</v>
      </c>
      <c r="AN46" s="2" t="s">
        <v>457</v>
      </c>
      <c r="AO46" s="2"/>
      <c r="AP46" s="2" t="s">
        <v>458</v>
      </c>
      <c r="AQ46" s="2" t="s">
        <v>459</v>
      </c>
      <c r="AR46" s="2" t="s">
        <v>460</v>
      </c>
      <c r="AS46" s="2" t="s">
        <v>461</v>
      </c>
      <c r="AT46" s="2"/>
      <c r="AU46" s="2" t="s">
        <v>462</v>
      </c>
      <c r="AV46" s="2" t="s">
        <v>463</v>
      </c>
      <c r="AW46" s="2" t="s">
        <v>88</v>
      </c>
      <c r="AX46" s="2" t="s">
        <v>472</v>
      </c>
      <c r="AY46" s="2"/>
      <c r="AZ46" s="2" t="s">
        <v>473</v>
      </c>
      <c r="BA46" s="2" t="s">
        <v>474</v>
      </c>
      <c r="BB46" s="2" t="s">
        <v>143</v>
      </c>
      <c r="BC46" s="2" t="s">
        <v>475</v>
      </c>
      <c r="BD46" s="2"/>
      <c r="BE46" s="2"/>
      <c r="BF46" s="2"/>
      <c r="BG46" s="2" t="s">
        <v>90</v>
      </c>
    </row>
    <row r="47" spans="1:59" ht="87.5" x14ac:dyDescent="0.4">
      <c r="A47" s="5" t="s">
        <v>739</v>
      </c>
      <c r="B47" s="2" t="s">
        <v>448</v>
      </c>
      <c r="C47" s="2" t="s">
        <v>59</v>
      </c>
      <c r="D47" s="2" t="s">
        <v>261</v>
      </c>
      <c r="E47" s="2" t="s">
        <v>262</v>
      </c>
      <c r="F47" s="2" t="s">
        <v>261</v>
      </c>
      <c r="G47" s="2"/>
      <c r="H47" s="2"/>
      <c r="I47" s="2"/>
      <c r="J47" s="2"/>
      <c r="K47" s="2"/>
      <c r="L47" s="2"/>
      <c r="M47" s="2"/>
      <c r="N47" s="2"/>
      <c r="O47" s="2" t="s">
        <v>449</v>
      </c>
      <c r="P47" s="2" t="s">
        <v>63</v>
      </c>
      <c r="Q47" s="2"/>
      <c r="R47" s="2"/>
      <c r="S47" s="2"/>
      <c r="T47" s="2" t="s">
        <v>450</v>
      </c>
      <c r="U47" s="2" t="s">
        <v>65</v>
      </c>
      <c r="V47" s="2" t="s">
        <v>66</v>
      </c>
      <c r="W47" s="2" t="s">
        <v>66</v>
      </c>
      <c r="X47" s="2" t="s">
        <v>65</v>
      </c>
      <c r="Y47" s="2" t="s">
        <v>451</v>
      </c>
      <c r="Z47" s="2" t="s">
        <v>452</v>
      </c>
      <c r="AA47" s="2" t="s">
        <v>73</v>
      </c>
      <c r="AB47" s="2" t="s">
        <v>70</v>
      </c>
      <c r="AC47" s="2" t="s">
        <v>71</v>
      </c>
      <c r="AD47" s="2" t="s">
        <v>72</v>
      </c>
      <c r="AE47" s="2"/>
      <c r="AF47" s="2"/>
      <c r="AG47" s="2"/>
      <c r="AH47" s="2" t="s">
        <v>453</v>
      </c>
      <c r="AI47" s="2" t="s">
        <v>454</v>
      </c>
      <c r="AJ47" s="2" t="s">
        <v>455</v>
      </c>
      <c r="AK47" s="2" t="s">
        <v>187</v>
      </c>
      <c r="AL47" s="2" t="s">
        <v>456</v>
      </c>
      <c r="AM47" s="2" t="s">
        <v>203</v>
      </c>
      <c r="AN47" s="2" t="s">
        <v>457</v>
      </c>
      <c r="AO47" s="2"/>
      <c r="AP47" s="2" t="s">
        <v>458</v>
      </c>
      <c r="AQ47" s="2" t="s">
        <v>459</v>
      </c>
      <c r="AR47" s="2" t="s">
        <v>460</v>
      </c>
      <c r="AS47" s="2" t="s">
        <v>461</v>
      </c>
      <c r="AT47" s="2"/>
      <c r="AU47" s="2" t="s">
        <v>462</v>
      </c>
      <c r="AV47" s="2" t="s">
        <v>463</v>
      </c>
      <c r="AW47" s="2" t="s">
        <v>143</v>
      </c>
      <c r="AX47" s="2" t="s">
        <v>476</v>
      </c>
      <c r="AY47" s="2"/>
      <c r="AZ47" s="2" t="s">
        <v>477</v>
      </c>
      <c r="BA47" s="2" t="s">
        <v>478</v>
      </c>
      <c r="BB47" s="2" t="s">
        <v>73</v>
      </c>
      <c r="BC47" s="2" t="s">
        <v>479</v>
      </c>
      <c r="BD47" s="2"/>
      <c r="BE47" s="2"/>
      <c r="BF47" s="2"/>
      <c r="BG47" s="2" t="s">
        <v>90</v>
      </c>
    </row>
    <row r="48" spans="1:59" ht="102" x14ac:dyDescent="0.4">
      <c r="A48" s="5" t="s">
        <v>739</v>
      </c>
      <c r="B48" s="2" t="s">
        <v>448</v>
      </c>
      <c r="C48" s="2" t="s">
        <v>59</v>
      </c>
      <c r="D48" s="2" t="s">
        <v>261</v>
      </c>
      <c r="E48" s="2" t="s">
        <v>262</v>
      </c>
      <c r="F48" s="2" t="s">
        <v>261</v>
      </c>
      <c r="G48" s="2"/>
      <c r="H48" s="2"/>
      <c r="I48" s="2"/>
      <c r="J48" s="2"/>
      <c r="K48" s="2"/>
      <c r="L48" s="2"/>
      <c r="M48" s="2"/>
      <c r="N48" s="2"/>
      <c r="O48" s="2" t="s">
        <v>449</v>
      </c>
      <c r="P48" s="2" t="s">
        <v>63</v>
      </c>
      <c r="Q48" s="2"/>
      <c r="R48" s="2"/>
      <c r="S48" s="2"/>
      <c r="T48" s="2" t="s">
        <v>450</v>
      </c>
      <c r="U48" s="2" t="s">
        <v>65</v>
      </c>
      <c r="V48" s="2" t="s">
        <v>66</v>
      </c>
      <c r="W48" s="2" t="s">
        <v>66</v>
      </c>
      <c r="X48" s="2" t="s">
        <v>65</v>
      </c>
      <c r="Y48" s="2" t="s">
        <v>451</v>
      </c>
      <c r="Z48" s="2" t="s">
        <v>452</v>
      </c>
      <c r="AA48" s="2" t="s">
        <v>73</v>
      </c>
      <c r="AB48" s="2" t="s">
        <v>70</v>
      </c>
      <c r="AC48" s="2" t="s">
        <v>71</v>
      </c>
      <c r="AD48" s="2" t="s">
        <v>72</v>
      </c>
      <c r="AE48" s="2"/>
      <c r="AF48" s="2"/>
      <c r="AG48" s="2"/>
      <c r="AH48" s="2" t="s">
        <v>453</v>
      </c>
      <c r="AI48" s="2" t="s">
        <v>454</v>
      </c>
      <c r="AJ48" s="2" t="s">
        <v>455</v>
      </c>
      <c r="AK48" s="2" t="s">
        <v>187</v>
      </c>
      <c r="AL48" s="2" t="s">
        <v>456</v>
      </c>
      <c r="AM48" s="2" t="s">
        <v>203</v>
      </c>
      <c r="AN48" s="2" t="s">
        <v>457</v>
      </c>
      <c r="AO48" s="2"/>
      <c r="AP48" s="2" t="s">
        <v>458</v>
      </c>
      <c r="AQ48" s="2" t="s">
        <v>459</v>
      </c>
      <c r="AR48" s="2" t="s">
        <v>460</v>
      </c>
      <c r="AS48" s="2" t="s">
        <v>461</v>
      </c>
      <c r="AT48" s="2"/>
      <c r="AU48" s="2" t="s">
        <v>462</v>
      </c>
      <c r="AV48" s="2" t="s">
        <v>463</v>
      </c>
      <c r="AW48" s="2" t="s">
        <v>69</v>
      </c>
      <c r="AX48" s="2" t="s">
        <v>480</v>
      </c>
      <c r="AY48" s="2"/>
      <c r="AZ48" s="2" t="s">
        <v>481</v>
      </c>
      <c r="BA48" s="2" t="s">
        <v>482</v>
      </c>
      <c r="BB48" s="2" t="s">
        <v>73</v>
      </c>
      <c r="BC48" s="2" t="s">
        <v>483</v>
      </c>
      <c r="BD48" s="2"/>
      <c r="BE48" s="2"/>
      <c r="BF48" s="2"/>
      <c r="BG48" s="2" t="s">
        <v>90</v>
      </c>
    </row>
    <row r="49" spans="1:59" ht="102" x14ac:dyDescent="0.4">
      <c r="A49" s="5" t="s">
        <v>739</v>
      </c>
      <c r="B49" s="2" t="s">
        <v>448</v>
      </c>
      <c r="C49" s="2" t="s">
        <v>59</v>
      </c>
      <c r="D49" s="2" t="s">
        <v>261</v>
      </c>
      <c r="E49" s="2" t="s">
        <v>262</v>
      </c>
      <c r="F49" s="2" t="s">
        <v>261</v>
      </c>
      <c r="G49" s="2"/>
      <c r="H49" s="2"/>
      <c r="I49" s="2"/>
      <c r="J49" s="2"/>
      <c r="K49" s="2"/>
      <c r="L49" s="2"/>
      <c r="M49" s="2"/>
      <c r="N49" s="2"/>
      <c r="O49" s="2" t="s">
        <v>449</v>
      </c>
      <c r="P49" s="2" t="s">
        <v>63</v>
      </c>
      <c r="Q49" s="2"/>
      <c r="R49" s="2"/>
      <c r="S49" s="2"/>
      <c r="T49" s="2" t="s">
        <v>450</v>
      </c>
      <c r="U49" s="2" t="s">
        <v>65</v>
      </c>
      <c r="V49" s="2" t="s">
        <v>66</v>
      </c>
      <c r="W49" s="2" t="s">
        <v>66</v>
      </c>
      <c r="X49" s="2" t="s">
        <v>65</v>
      </c>
      <c r="Y49" s="2" t="s">
        <v>451</v>
      </c>
      <c r="Z49" s="2" t="s">
        <v>452</v>
      </c>
      <c r="AA49" s="2" t="s">
        <v>73</v>
      </c>
      <c r="AB49" s="2" t="s">
        <v>70</v>
      </c>
      <c r="AC49" s="2" t="s">
        <v>71</v>
      </c>
      <c r="AD49" s="2" t="s">
        <v>72</v>
      </c>
      <c r="AE49" s="2"/>
      <c r="AF49" s="2"/>
      <c r="AG49" s="2"/>
      <c r="AH49" s="2" t="s">
        <v>453</v>
      </c>
      <c r="AI49" s="2" t="s">
        <v>454</v>
      </c>
      <c r="AJ49" s="2" t="s">
        <v>455</v>
      </c>
      <c r="AK49" s="2" t="s">
        <v>187</v>
      </c>
      <c r="AL49" s="2" t="s">
        <v>456</v>
      </c>
      <c r="AM49" s="2" t="s">
        <v>203</v>
      </c>
      <c r="AN49" s="2" t="s">
        <v>457</v>
      </c>
      <c r="AO49" s="2"/>
      <c r="AP49" s="2" t="s">
        <v>458</v>
      </c>
      <c r="AQ49" s="2" t="s">
        <v>459</v>
      </c>
      <c r="AR49" s="2" t="s">
        <v>460</v>
      </c>
      <c r="AS49" s="2" t="s">
        <v>461</v>
      </c>
      <c r="AT49" s="2"/>
      <c r="AU49" s="2" t="s">
        <v>462</v>
      </c>
      <c r="AV49" s="2" t="s">
        <v>463</v>
      </c>
      <c r="AW49" s="2" t="s">
        <v>162</v>
      </c>
      <c r="AX49" s="2" t="s">
        <v>480</v>
      </c>
      <c r="AY49" s="2"/>
      <c r="AZ49" s="2" t="s">
        <v>481</v>
      </c>
      <c r="BA49" s="2" t="s">
        <v>482</v>
      </c>
      <c r="BB49" s="2" t="s">
        <v>73</v>
      </c>
      <c r="BC49" s="2" t="s">
        <v>483</v>
      </c>
      <c r="BD49" s="2"/>
      <c r="BE49" s="2"/>
      <c r="BF49" s="2"/>
      <c r="BG49" s="2" t="s">
        <v>90</v>
      </c>
    </row>
    <row r="50" spans="1:59" ht="116.5" x14ac:dyDescent="0.4">
      <c r="A50" s="5" t="s">
        <v>739</v>
      </c>
      <c r="B50" s="2" t="s">
        <v>448</v>
      </c>
      <c r="C50" s="2" t="s">
        <v>59</v>
      </c>
      <c r="D50" s="2" t="s">
        <v>261</v>
      </c>
      <c r="E50" s="2" t="s">
        <v>262</v>
      </c>
      <c r="F50" s="2" t="s">
        <v>261</v>
      </c>
      <c r="G50" s="2"/>
      <c r="H50" s="2"/>
      <c r="I50" s="2"/>
      <c r="J50" s="2"/>
      <c r="K50" s="2"/>
      <c r="L50" s="2"/>
      <c r="M50" s="2"/>
      <c r="N50" s="2"/>
      <c r="O50" s="2" t="s">
        <v>449</v>
      </c>
      <c r="P50" s="2" t="s">
        <v>63</v>
      </c>
      <c r="Q50" s="2"/>
      <c r="R50" s="2"/>
      <c r="S50" s="2"/>
      <c r="T50" s="2" t="s">
        <v>450</v>
      </c>
      <c r="U50" s="2" t="s">
        <v>65</v>
      </c>
      <c r="V50" s="2" t="s">
        <v>66</v>
      </c>
      <c r="W50" s="2" t="s">
        <v>66</v>
      </c>
      <c r="X50" s="2" t="s">
        <v>65</v>
      </c>
      <c r="Y50" s="2" t="s">
        <v>451</v>
      </c>
      <c r="Z50" s="2" t="s">
        <v>452</v>
      </c>
      <c r="AA50" s="2" t="s">
        <v>73</v>
      </c>
      <c r="AB50" s="2" t="s">
        <v>70</v>
      </c>
      <c r="AC50" s="2" t="s">
        <v>71</v>
      </c>
      <c r="AD50" s="2" t="s">
        <v>72</v>
      </c>
      <c r="AE50" s="2"/>
      <c r="AF50" s="2"/>
      <c r="AG50" s="2"/>
      <c r="AH50" s="2" t="s">
        <v>453</v>
      </c>
      <c r="AI50" s="2" t="s">
        <v>454</v>
      </c>
      <c r="AJ50" s="2" t="s">
        <v>455</v>
      </c>
      <c r="AK50" s="2" t="s">
        <v>187</v>
      </c>
      <c r="AL50" s="2" t="s">
        <v>456</v>
      </c>
      <c r="AM50" s="2" t="s">
        <v>203</v>
      </c>
      <c r="AN50" s="2" t="s">
        <v>457</v>
      </c>
      <c r="AO50" s="2"/>
      <c r="AP50" s="2" t="s">
        <v>458</v>
      </c>
      <c r="AQ50" s="2" t="s">
        <v>459</v>
      </c>
      <c r="AR50" s="2" t="s">
        <v>460</v>
      </c>
      <c r="AS50" s="2" t="s">
        <v>461</v>
      </c>
      <c r="AT50" s="2"/>
      <c r="AU50" s="2" t="s">
        <v>462</v>
      </c>
      <c r="AV50" s="2" t="s">
        <v>463</v>
      </c>
      <c r="AW50" s="2" t="s">
        <v>178</v>
      </c>
      <c r="AX50" s="2" t="s">
        <v>484</v>
      </c>
      <c r="AY50" s="2"/>
      <c r="AZ50" s="2" t="s">
        <v>485</v>
      </c>
      <c r="BA50" s="2" t="s">
        <v>486</v>
      </c>
      <c r="BB50" s="2" t="s">
        <v>73</v>
      </c>
      <c r="BC50" s="2" t="s">
        <v>487</v>
      </c>
      <c r="BD50" s="2"/>
      <c r="BE50" s="2"/>
      <c r="BF50" s="2"/>
      <c r="BG50" s="2" t="s">
        <v>90</v>
      </c>
    </row>
    <row r="51" spans="1:59" ht="102" x14ac:dyDescent="0.4">
      <c r="A51" s="5" t="s">
        <v>739</v>
      </c>
      <c r="B51" s="2" t="s">
        <v>448</v>
      </c>
      <c r="C51" s="2" t="s">
        <v>59</v>
      </c>
      <c r="D51" s="2" t="s">
        <v>261</v>
      </c>
      <c r="E51" s="2" t="s">
        <v>262</v>
      </c>
      <c r="F51" s="2" t="s">
        <v>261</v>
      </c>
      <c r="G51" s="2"/>
      <c r="H51" s="2"/>
      <c r="I51" s="2"/>
      <c r="J51" s="2"/>
      <c r="K51" s="2"/>
      <c r="L51" s="2"/>
      <c r="M51" s="2"/>
      <c r="N51" s="2"/>
      <c r="O51" s="2" t="s">
        <v>449</v>
      </c>
      <c r="P51" s="2" t="s">
        <v>63</v>
      </c>
      <c r="Q51" s="2"/>
      <c r="R51" s="2"/>
      <c r="S51" s="2"/>
      <c r="T51" s="2" t="s">
        <v>450</v>
      </c>
      <c r="U51" s="2" t="s">
        <v>65</v>
      </c>
      <c r="V51" s="2" t="s">
        <v>66</v>
      </c>
      <c r="W51" s="2" t="s">
        <v>66</v>
      </c>
      <c r="X51" s="2" t="s">
        <v>65</v>
      </c>
      <c r="Y51" s="2" t="s">
        <v>451</v>
      </c>
      <c r="Z51" s="2" t="s">
        <v>452</v>
      </c>
      <c r="AA51" s="2" t="s">
        <v>73</v>
      </c>
      <c r="AB51" s="2" t="s">
        <v>70</v>
      </c>
      <c r="AC51" s="2" t="s">
        <v>71</v>
      </c>
      <c r="AD51" s="2" t="s">
        <v>72</v>
      </c>
      <c r="AE51" s="2"/>
      <c r="AF51" s="2"/>
      <c r="AG51" s="2"/>
      <c r="AH51" s="2" t="s">
        <v>453</v>
      </c>
      <c r="AI51" s="2" t="s">
        <v>454</v>
      </c>
      <c r="AJ51" s="2" t="s">
        <v>455</v>
      </c>
      <c r="AK51" s="2" t="s">
        <v>187</v>
      </c>
      <c r="AL51" s="2" t="s">
        <v>456</v>
      </c>
      <c r="AM51" s="2" t="s">
        <v>203</v>
      </c>
      <c r="AN51" s="2" t="s">
        <v>457</v>
      </c>
      <c r="AO51" s="2"/>
      <c r="AP51" s="2" t="s">
        <v>458</v>
      </c>
      <c r="AQ51" s="2" t="s">
        <v>459</v>
      </c>
      <c r="AR51" s="2" t="s">
        <v>460</v>
      </c>
      <c r="AS51" s="2" t="s">
        <v>461</v>
      </c>
      <c r="AT51" s="2"/>
      <c r="AU51" s="2" t="s">
        <v>462</v>
      </c>
      <c r="AV51" s="2" t="s">
        <v>463</v>
      </c>
      <c r="AW51" s="2" t="s">
        <v>97</v>
      </c>
      <c r="AX51" s="2" t="s">
        <v>488</v>
      </c>
      <c r="AY51" s="2"/>
      <c r="AZ51" s="2" t="s">
        <v>485</v>
      </c>
      <c r="BA51" s="2" t="s">
        <v>486</v>
      </c>
      <c r="BB51" s="2" t="s">
        <v>73</v>
      </c>
      <c r="BC51" s="2" t="s">
        <v>489</v>
      </c>
      <c r="BD51" s="2"/>
      <c r="BE51" s="2"/>
      <c r="BF51" s="2"/>
      <c r="BG51" s="2" t="s">
        <v>90</v>
      </c>
    </row>
    <row r="52" spans="1:59" ht="102" x14ac:dyDescent="0.4">
      <c r="A52" s="5" t="s">
        <v>739</v>
      </c>
      <c r="B52" s="2" t="s">
        <v>448</v>
      </c>
      <c r="C52" s="2" t="s">
        <v>59</v>
      </c>
      <c r="D52" s="2" t="s">
        <v>261</v>
      </c>
      <c r="E52" s="2" t="s">
        <v>262</v>
      </c>
      <c r="F52" s="2" t="s">
        <v>261</v>
      </c>
      <c r="G52" s="2"/>
      <c r="H52" s="2"/>
      <c r="I52" s="2"/>
      <c r="J52" s="2"/>
      <c r="K52" s="2"/>
      <c r="L52" s="2"/>
      <c r="M52" s="2"/>
      <c r="N52" s="2"/>
      <c r="O52" s="2" t="s">
        <v>449</v>
      </c>
      <c r="P52" s="2" t="s">
        <v>63</v>
      </c>
      <c r="Q52" s="2"/>
      <c r="R52" s="2"/>
      <c r="S52" s="2"/>
      <c r="T52" s="2" t="s">
        <v>450</v>
      </c>
      <c r="U52" s="2" t="s">
        <v>65</v>
      </c>
      <c r="V52" s="2" t="s">
        <v>66</v>
      </c>
      <c r="W52" s="2" t="s">
        <v>66</v>
      </c>
      <c r="X52" s="2" t="s">
        <v>65</v>
      </c>
      <c r="Y52" s="2" t="s">
        <v>451</v>
      </c>
      <c r="Z52" s="2" t="s">
        <v>452</v>
      </c>
      <c r="AA52" s="2" t="s">
        <v>73</v>
      </c>
      <c r="AB52" s="2" t="s">
        <v>70</v>
      </c>
      <c r="AC52" s="2" t="s">
        <v>71</v>
      </c>
      <c r="AD52" s="2" t="s">
        <v>72</v>
      </c>
      <c r="AE52" s="2"/>
      <c r="AF52" s="2"/>
      <c r="AG52" s="2"/>
      <c r="AH52" s="2" t="s">
        <v>453</v>
      </c>
      <c r="AI52" s="2" t="s">
        <v>454</v>
      </c>
      <c r="AJ52" s="2" t="s">
        <v>455</v>
      </c>
      <c r="AK52" s="2" t="s">
        <v>187</v>
      </c>
      <c r="AL52" s="2" t="s">
        <v>456</v>
      </c>
      <c r="AM52" s="2" t="s">
        <v>203</v>
      </c>
      <c r="AN52" s="2" t="s">
        <v>457</v>
      </c>
      <c r="AO52" s="2"/>
      <c r="AP52" s="2" t="s">
        <v>458</v>
      </c>
      <c r="AQ52" s="2" t="s">
        <v>459</v>
      </c>
      <c r="AR52" s="2" t="s">
        <v>460</v>
      </c>
      <c r="AS52" s="2" t="s">
        <v>461</v>
      </c>
      <c r="AT52" s="2"/>
      <c r="AU52" s="2" t="s">
        <v>462</v>
      </c>
      <c r="AV52" s="2" t="s">
        <v>463</v>
      </c>
      <c r="AW52" s="2" t="s">
        <v>113</v>
      </c>
      <c r="AX52" s="2" t="s">
        <v>488</v>
      </c>
      <c r="AY52" s="2"/>
      <c r="AZ52" s="2" t="s">
        <v>485</v>
      </c>
      <c r="BA52" s="2" t="s">
        <v>486</v>
      </c>
      <c r="BB52" s="2" t="s">
        <v>73</v>
      </c>
      <c r="BC52" s="2" t="s">
        <v>489</v>
      </c>
      <c r="BD52" s="2"/>
      <c r="BE52" s="2"/>
      <c r="BF52" s="2"/>
      <c r="BG52" s="2" t="s">
        <v>90</v>
      </c>
    </row>
    <row r="53" spans="1:59" ht="102" x14ac:dyDescent="0.4">
      <c r="A53" s="5" t="s">
        <v>739</v>
      </c>
      <c r="B53" s="2" t="s">
        <v>448</v>
      </c>
      <c r="C53" s="2" t="s">
        <v>59</v>
      </c>
      <c r="D53" s="2" t="s">
        <v>261</v>
      </c>
      <c r="E53" s="2" t="s">
        <v>262</v>
      </c>
      <c r="F53" s="2" t="s">
        <v>261</v>
      </c>
      <c r="G53" s="2"/>
      <c r="H53" s="2"/>
      <c r="I53" s="2"/>
      <c r="J53" s="2"/>
      <c r="K53" s="2"/>
      <c r="L53" s="2"/>
      <c r="M53" s="2"/>
      <c r="N53" s="2"/>
      <c r="O53" s="2" t="s">
        <v>449</v>
      </c>
      <c r="P53" s="2" t="s">
        <v>63</v>
      </c>
      <c r="Q53" s="2"/>
      <c r="R53" s="2"/>
      <c r="S53" s="2"/>
      <c r="T53" s="2" t="s">
        <v>450</v>
      </c>
      <c r="U53" s="2" t="s">
        <v>65</v>
      </c>
      <c r="V53" s="2" t="s">
        <v>66</v>
      </c>
      <c r="W53" s="2" t="s">
        <v>66</v>
      </c>
      <c r="X53" s="2" t="s">
        <v>65</v>
      </c>
      <c r="Y53" s="2" t="s">
        <v>451</v>
      </c>
      <c r="Z53" s="2" t="s">
        <v>452</v>
      </c>
      <c r="AA53" s="2" t="s">
        <v>73</v>
      </c>
      <c r="AB53" s="2" t="s">
        <v>70</v>
      </c>
      <c r="AC53" s="2" t="s">
        <v>71</v>
      </c>
      <c r="AD53" s="2" t="s">
        <v>72</v>
      </c>
      <c r="AE53" s="2"/>
      <c r="AF53" s="2"/>
      <c r="AG53" s="2"/>
      <c r="AH53" s="2" t="s">
        <v>453</v>
      </c>
      <c r="AI53" s="2" t="s">
        <v>454</v>
      </c>
      <c r="AJ53" s="2" t="s">
        <v>455</v>
      </c>
      <c r="AK53" s="2" t="s">
        <v>187</v>
      </c>
      <c r="AL53" s="2" t="s">
        <v>456</v>
      </c>
      <c r="AM53" s="2" t="s">
        <v>203</v>
      </c>
      <c r="AN53" s="2" t="s">
        <v>457</v>
      </c>
      <c r="AO53" s="2"/>
      <c r="AP53" s="2" t="s">
        <v>458</v>
      </c>
      <c r="AQ53" s="2" t="s">
        <v>459</v>
      </c>
      <c r="AR53" s="2" t="s">
        <v>460</v>
      </c>
      <c r="AS53" s="2" t="s">
        <v>461</v>
      </c>
      <c r="AT53" s="2"/>
      <c r="AU53" s="2" t="s">
        <v>462</v>
      </c>
      <c r="AV53" s="2" t="s">
        <v>463</v>
      </c>
      <c r="AW53" s="2" t="s">
        <v>285</v>
      </c>
      <c r="AX53" s="2" t="s">
        <v>490</v>
      </c>
      <c r="AY53" s="2"/>
      <c r="AZ53" s="2" t="s">
        <v>485</v>
      </c>
      <c r="BA53" s="2" t="s">
        <v>486</v>
      </c>
      <c r="BB53" s="2" t="s">
        <v>73</v>
      </c>
      <c r="BC53" s="2" t="s">
        <v>491</v>
      </c>
      <c r="BD53" s="2"/>
      <c r="BE53" s="2"/>
      <c r="BF53" s="2"/>
      <c r="BG53" s="2" t="s">
        <v>90</v>
      </c>
    </row>
    <row r="54" spans="1:59" ht="102" x14ac:dyDescent="0.4">
      <c r="A54" s="5" t="s">
        <v>739</v>
      </c>
      <c r="B54" s="2" t="s">
        <v>448</v>
      </c>
      <c r="C54" s="2" t="s">
        <v>59</v>
      </c>
      <c r="D54" s="2" t="s">
        <v>261</v>
      </c>
      <c r="E54" s="2" t="s">
        <v>262</v>
      </c>
      <c r="F54" s="2" t="s">
        <v>261</v>
      </c>
      <c r="G54" s="2"/>
      <c r="H54" s="2"/>
      <c r="I54" s="2"/>
      <c r="J54" s="2"/>
      <c r="K54" s="2"/>
      <c r="L54" s="2"/>
      <c r="M54" s="2"/>
      <c r="N54" s="2"/>
      <c r="O54" s="2" t="s">
        <v>449</v>
      </c>
      <c r="P54" s="2" t="s">
        <v>63</v>
      </c>
      <c r="Q54" s="2"/>
      <c r="R54" s="2"/>
      <c r="S54" s="2"/>
      <c r="T54" s="2" t="s">
        <v>450</v>
      </c>
      <c r="U54" s="2" t="s">
        <v>65</v>
      </c>
      <c r="V54" s="2" t="s">
        <v>66</v>
      </c>
      <c r="W54" s="2" t="s">
        <v>66</v>
      </c>
      <c r="X54" s="2" t="s">
        <v>65</v>
      </c>
      <c r="Y54" s="2" t="s">
        <v>451</v>
      </c>
      <c r="Z54" s="2" t="s">
        <v>452</v>
      </c>
      <c r="AA54" s="2" t="s">
        <v>73</v>
      </c>
      <c r="AB54" s="2" t="s">
        <v>70</v>
      </c>
      <c r="AC54" s="2" t="s">
        <v>71</v>
      </c>
      <c r="AD54" s="2" t="s">
        <v>72</v>
      </c>
      <c r="AE54" s="2"/>
      <c r="AF54" s="2"/>
      <c r="AG54" s="2"/>
      <c r="AH54" s="2" t="s">
        <v>453</v>
      </c>
      <c r="AI54" s="2" t="s">
        <v>454</v>
      </c>
      <c r="AJ54" s="2" t="s">
        <v>455</v>
      </c>
      <c r="AK54" s="2" t="s">
        <v>187</v>
      </c>
      <c r="AL54" s="2" t="s">
        <v>456</v>
      </c>
      <c r="AM54" s="2" t="s">
        <v>203</v>
      </c>
      <c r="AN54" s="2" t="s">
        <v>457</v>
      </c>
      <c r="AO54" s="2"/>
      <c r="AP54" s="2" t="s">
        <v>458</v>
      </c>
      <c r="AQ54" s="2" t="s">
        <v>459</v>
      </c>
      <c r="AR54" s="2" t="s">
        <v>460</v>
      </c>
      <c r="AS54" s="2" t="s">
        <v>461</v>
      </c>
      <c r="AT54" s="2"/>
      <c r="AU54" s="2" t="s">
        <v>462</v>
      </c>
      <c r="AV54" s="2" t="s">
        <v>463</v>
      </c>
      <c r="AW54" s="2" t="s">
        <v>333</v>
      </c>
      <c r="AX54" s="2" t="s">
        <v>490</v>
      </c>
      <c r="AY54" s="2"/>
      <c r="AZ54" s="2" t="s">
        <v>485</v>
      </c>
      <c r="BA54" s="2" t="s">
        <v>486</v>
      </c>
      <c r="BB54" s="2" t="s">
        <v>91</v>
      </c>
      <c r="BC54" s="2" t="s">
        <v>492</v>
      </c>
      <c r="BD54" s="2"/>
      <c r="BE54" s="2"/>
      <c r="BF54" s="2"/>
      <c r="BG54" s="2" t="s">
        <v>90</v>
      </c>
    </row>
    <row r="55" spans="1:59" ht="102" x14ac:dyDescent="0.4">
      <c r="A55" s="5" t="s">
        <v>739</v>
      </c>
      <c r="B55" s="2" t="s">
        <v>448</v>
      </c>
      <c r="C55" s="2" t="s">
        <v>59</v>
      </c>
      <c r="D55" s="2" t="s">
        <v>261</v>
      </c>
      <c r="E55" s="2" t="s">
        <v>262</v>
      </c>
      <c r="F55" s="2" t="s">
        <v>261</v>
      </c>
      <c r="G55" s="2"/>
      <c r="H55" s="2"/>
      <c r="I55" s="2"/>
      <c r="J55" s="2"/>
      <c r="K55" s="2"/>
      <c r="L55" s="2"/>
      <c r="M55" s="2"/>
      <c r="N55" s="2"/>
      <c r="O55" s="2" t="s">
        <v>449</v>
      </c>
      <c r="P55" s="2" t="s">
        <v>63</v>
      </c>
      <c r="Q55" s="2"/>
      <c r="R55" s="2"/>
      <c r="S55" s="2"/>
      <c r="T55" s="2" t="s">
        <v>450</v>
      </c>
      <c r="U55" s="2" t="s">
        <v>65</v>
      </c>
      <c r="V55" s="2" t="s">
        <v>66</v>
      </c>
      <c r="W55" s="2" t="s">
        <v>66</v>
      </c>
      <c r="X55" s="2" t="s">
        <v>65</v>
      </c>
      <c r="Y55" s="2" t="s">
        <v>451</v>
      </c>
      <c r="Z55" s="2" t="s">
        <v>452</v>
      </c>
      <c r="AA55" s="2" t="s">
        <v>73</v>
      </c>
      <c r="AB55" s="2" t="s">
        <v>70</v>
      </c>
      <c r="AC55" s="2" t="s">
        <v>71</v>
      </c>
      <c r="AD55" s="2" t="s">
        <v>72</v>
      </c>
      <c r="AE55" s="2"/>
      <c r="AF55" s="2"/>
      <c r="AG55" s="2"/>
      <c r="AH55" s="2" t="s">
        <v>453</v>
      </c>
      <c r="AI55" s="2" t="s">
        <v>454</v>
      </c>
      <c r="AJ55" s="2" t="s">
        <v>455</v>
      </c>
      <c r="AK55" s="2" t="s">
        <v>187</v>
      </c>
      <c r="AL55" s="2" t="s">
        <v>456</v>
      </c>
      <c r="AM55" s="2" t="s">
        <v>203</v>
      </c>
      <c r="AN55" s="2" t="s">
        <v>457</v>
      </c>
      <c r="AO55" s="2"/>
      <c r="AP55" s="2" t="s">
        <v>458</v>
      </c>
      <c r="AQ55" s="2" t="s">
        <v>459</v>
      </c>
      <c r="AR55" s="2" t="s">
        <v>460</v>
      </c>
      <c r="AS55" s="2" t="s">
        <v>461</v>
      </c>
      <c r="AT55" s="2"/>
      <c r="AU55" s="2" t="s">
        <v>462</v>
      </c>
      <c r="AV55" s="2" t="s">
        <v>463</v>
      </c>
      <c r="AW55" s="2" t="s">
        <v>493</v>
      </c>
      <c r="AX55" s="2" t="s">
        <v>490</v>
      </c>
      <c r="AY55" s="2"/>
      <c r="AZ55" s="2" t="s">
        <v>485</v>
      </c>
      <c r="BA55" s="2" t="s">
        <v>486</v>
      </c>
      <c r="BB55" s="2" t="s">
        <v>143</v>
      </c>
      <c r="BC55" s="2" t="s">
        <v>494</v>
      </c>
      <c r="BD55" s="2"/>
      <c r="BE55" s="2"/>
      <c r="BF55" s="2"/>
      <c r="BG55" s="2" t="s">
        <v>90</v>
      </c>
    </row>
    <row r="56" spans="1:59" ht="102" x14ac:dyDescent="0.4">
      <c r="A56" s="5" t="s">
        <v>739</v>
      </c>
      <c r="B56" s="2" t="s">
        <v>448</v>
      </c>
      <c r="C56" s="2" t="s">
        <v>59</v>
      </c>
      <c r="D56" s="2" t="s">
        <v>261</v>
      </c>
      <c r="E56" s="2" t="s">
        <v>262</v>
      </c>
      <c r="F56" s="2" t="s">
        <v>261</v>
      </c>
      <c r="G56" s="2"/>
      <c r="H56" s="2"/>
      <c r="I56" s="2"/>
      <c r="J56" s="2"/>
      <c r="K56" s="2"/>
      <c r="L56" s="2"/>
      <c r="M56" s="2"/>
      <c r="N56" s="2"/>
      <c r="O56" s="2" t="s">
        <v>449</v>
      </c>
      <c r="P56" s="2" t="s">
        <v>63</v>
      </c>
      <c r="Q56" s="2"/>
      <c r="R56" s="2"/>
      <c r="S56" s="2"/>
      <c r="T56" s="2" t="s">
        <v>450</v>
      </c>
      <c r="U56" s="2" t="s">
        <v>65</v>
      </c>
      <c r="V56" s="2" t="s">
        <v>66</v>
      </c>
      <c r="W56" s="2" t="s">
        <v>66</v>
      </c>
      <c r="X56" s="2" t="s">
        <v>65</v>
      </c>
      <c r="Y56" s="2" t="s">
        <v>451</v>
      </c>
      <c r="Z56" s="2" t="s">
        <v>452</v>
      </c>
      <c r="AA56" s="2" t="s">
        <v>73</v>
      </c>
      <c r="AB56" s="2" t="s">
        <v>70</v>
      </c>
      <c r="AC56" s="2" t="s">
        <v>71</v>
      </c>
      <c r="AD56" s="2" t="s">
        <v>72</v>
      </c>
      <c r="AE56" s="2"/>
      <c r="AF56" s="2"/>
      <c r="AG56" s="2"/>
      <c r="AH56" s="2" t="s">
        <v>453</v>
      </c>
      <c r="AI56" s="2" t="s">
        <v>454</v>
      </c>
      <c r="AJ56" s="2" t="s">
        <v>455</v>
      </c>
      <c r="AK56" s="2" t="s">
        <v>187</v>
      </c>
      <c r="AL56" s="2" t="s">
        <v>456</v>
      </c>
      <c r="AM56" s="2" t="s">
        <v>203</v>
      </c>
      <c r="AN56" s="2" t="s">
        <v>457</v>
      </c>
      <c r="AO56" s="2"/>
      <c r="AP56" s="2" t="s">
        <v>458</v>
      </c>
      <c r="AQ56" s="2" t="s">
        <v>459</v>
      </c>
      <c r="AR56" s="2" t="s">
        <v>460</v>
      </c>
      <c r="AS56" s="2" t="s">
        <v>461</v>
      </c>
      <c r="AT56" s="2"/>
      <c r="AU56" s="2" t="s">
        <v>462</v>
      </c>
      <c r="AV56" s="2" t="s">
        <v>463</v>
      </c>
      <c r="AW56" s="2" t="s">
        <v>495</v>
      </c>
      <c r="AX56" s="2" t="s">
        <v>496</v>
      </c>
      <c r="AY56" s="2"/>
      <c r="AZ56" s="2" t="s">
        <v>497</v>
      </c>
      <c r="BA56" s="2" t="s">
        <v>498</v>
      </c>
      <c r="BB56" s="2" t="s">
        <v>73</v>
      </c>
      <c r="BC56" s="2" t="s">
        <v>499</v>
      </c>
      <c r="BD56" s="2"/>
      <c r="BE56" s="2"/>
      <c r="BF56" s="2"/>
      <c r="BG56" s="2" t="s">
        <v>90</v>
      </c>
    </row>
    <row r="57" spans="1:59" ht="116.5" x14ac:dyDescent="0.4">
      <c r="A57" s="5" t="s">
        <v>739</v>
      </c>
      <c r="B57" s="2" t="s">
        <v>448</v>
      </c>
      <c r="C57" s="2" t="s">
        <v>59</v>
      </c>
      <c r="D57" s="2" t="s">
        <v>261</v>
      </c>
      <c r="E57" s="2" t="s">
        <v>262</v>
      </c>
      <c r="F57" s="2" t="s">
        <v>261</v>
      </c>
      <c r="G57" s="2"/>
      <c r="H57" s="2"/>
      <c r="I57" s="2"/>
      <c r="J57" s="2"/>
      <c r="K57" s="2"/>
      <c r="L57" s="2"/>
      <c r="M57" s="2"/>
      <c r="N57" s="2"/>
      <c r="O57" s="2" t="s">
        <v>449</v>
      </c>
      <c r="P57" s="2" t="s">
        <v>63</v>
      </c>
      <c r="Q57" s="2"/>
      <c r="R57" s="2"/>
      <c r="S57" s="2"/>
      <c r="T57" s="2" t="s">
        <v>450</v>
      </c>
      <c r="U57" s="2" t="s">
        <v>65</v>
      </c>
      <c r="V57" s="2" t="s">
        <v>66</v>
      </c>
      <c r="W57" s="2" t="s">
        <v>66</v>
      </c>
      <c r="X57" s="2" t="s">
        <v>65</v>
      </c>
      <c r="Y57" s="2" t="s">
        <v>451</v>
      </c>
      <c r="Z57" s="2" t="s">
        <v>452</v>
      </c>
      <c r="AA57" s="2" t="s">
        <v>73</v>
      </c>
      <c r="AB57" s="2" t="s">
        <v>70</v>
      </c>
      <c r="AC57" s="2" t="s">
        <v>71</v>
      </c>
      <c r="AD57" s="2" t="s">
        <v>72</v>
      </c>
      <c r="AE57" s="2"/>
      <c r="AF57" s="2"/>
      <c r="AG57" s="2"/>
      <c r="AH57" s="2" t="s">
        <v>453</v>
      </c>
      <c r="AI57" s="2" t="s">
        <v>454</v>
      </c>
      <c r="AJ57" s="2" t="s">
        <v>455</v>
      </c>
      <c r="AK57" s="2" t="s">
        <v>187</v>
      </c>
      <c r="AL57" s="2" t="s">
        <v>456</v>
      </c>
      <c r="AM57" s="2" t="s">
        <v>203</v>
      </c>
      <c r="AN57" s="2" t="s">
        <v>457</v>
      </c>
      <c r="AO57" s="2"/>
      <c r="AP57" s="2" t="s">
        <v>458</v>
      </c>
      <c r="AQ57" s="2" t="s">
        <v>459</v>
      </c>
      <c r="AR57" s="2" t="s">
        <v>460</v>
      </c>
      <c r="AS57" s="2" t="s">
        <v>461</v>
      </c>
      <c r="AT57" s="2"/>
      <c r="AU57" s="2" t="s">
        <v>462</v>
      </c>
      <c r="AV57" s="2" t="s">
        <v>463</v>
      </c>
      <c r="AW57" s="2" t="s">
        <v>500</v>
      </c>
      <c r="AX57" s="2" t="s">
        <v>501</v>
      </c>
      <c r="AY57" s="2"/>
      <c r="AZ57" s="2" t="s">
        <v>502</v>
      </c>
      <c r="BA57" s="2" t="s">
        <v>503</v>
      </c>
      <c r="BB57" s="2" t="s">
        <v>73</v>
      </c>
      <c r="BC57" s="2" t="s">
        <v>504</v>
      </c>
      <c r="BD57" s="2"/>
      <c r="BE57" s="2"/>
      <c r="BF57" s="2"/>
      <c r="BG57" s="2" t="s">
        <v>90</v>
      </c>
    </row>
    <row r="58" spans="1:59" ht="116.5" x14ac:dyDescent="0.4">
      <c r="A58" s="5" t="s">
        <v>739</v>
      </c>
      <c r="B58" s="2" t="s">
        <v>448</v>
      </c>
      <c r="C58" s="2" t="s">
        <v>59</v>
      </c>
      <c r="D58" s="2" t="s">
        <v>261</v>
      </c>
      <c r="E58" s="2" t="s">
        <v>262</v>
      </c>
      <c r="F58" s="2" t="s">
        <v>261</v>
      </c>
      <c r="G58" s="2"/>
      <c r="H58" s="2"/>
      <c r="I58" s="2"/>
      <c r="J58" s="2"/>
      <c r="K58" s="2"/>
      <c r="L58" s="2"/>
      <c r="M58" s="2"/>
      <c r="N58" s="2"/>
      <c r="O58" s="2" t="s">
        <v>449</v>
      </c>
      <c r="P58" s="2" t="s">
        <v>63</v>
      </c>
      <c r="Q58" s="2"/>
      <c r="R58" s="2"/>
      <c r="S58" s="2"/>
      <c r="T58" s="2" t="s">
        <v>450</v>
      </c>
      <c r="U58" s="2" t="s">
        <v>65</v>
      </c>
      <c r="V58" s="2" t="s">
        <v>66</v>
      </c>
      <c r="W58" s="2" t="s">
        <v>66</v>
      </c>
      <c r="X58" s="2" t="s">
        <v>65</v>
      </c>
      <c r="Y58" s="2" t="s">
        <v>451</v>
      </c>
      <c r="Z58" s="2" t="s">
        <v>452</v>
      </c>
      <c r="AA58" s="2" t="s">
        <v>73</v>
      </c>
      <c r="AB58" s="2" t="s">
        <v>70</v>
      </c>
      <c r="AC58" s="2" t="s">
        <v>71</v>
      </c>
      <c r="AD58" s="2" t="s">
        <v>72</v>
      </c>
      <c r="AE58" s="2"/>
      <c r="AF58" s="2"/>
      <c r="AG58" s="2"/>
      <c r="AH58" s="2" t="s">
        <v>453</v>
      </c>
      <c r="AI58" s="2" t="s">
        <v>454</v>
      </c>
      <c r="AJ58" s="2" t="s">
        <v>455</v>
      </c>
      <c r="AK58" s="2" t="s">
        <v>187</v>
      </c>
      <c r="AL58" s="2" t="s">
        <v>456</v>
      </c>
      <c r="AM58" s="2" t="s">
        <v>203</v>
      </c>
      <c r="AN58" s="2" t="s">
        <v>457</v>
      </c>
      <c r="AO58" s="2"/>
      <c r="AP58" s="2" t="s">
        <v>458</v>
      </c>
      <c r="AQ58" s="2" t="s">
        <v>459</v>
      </c>
      <c r="AR58" s="2" t="s">
        <v>460</v>
      </c>
      <c r="AS58" s="2" t="s">
        <v>461</v>
      </c>
      <c r="AT58" s="2"/>
      <c r="AU58" s="2" t="s">
        <v>462</v>
      </c>
      <c r="AV58" s="2" t="s">
        <v>463</v>
      </c>
      <c r="AW58" s="2" t="s">
        <v>505</v>
      </c>
      <c r="AX58" s="2" t="s">
        <v>501</v>
      </c>
      <c r="AY58" s="2"/>
      <c r="AZ58" s="2" t="s">
        <v>502</v>
      </c>
      <c r="BA58" s="2" t="s">
        <v>503</v>
      </c>
      <c r="BB58" s="2" t="s">
        <v>178</v>
      </c>
      <c r="BC58" s="2" t="s">
        <v>506</v>
      </c>
      <c r="BD58" s="2"/>
      <c r="BE58" s="2"/>
      <c r="BF58" s="2"/>
      <c r="BG58" s="2" t="s">
        <v>90</v>
      </c>
    </row>
    <row r="59" spans="1:59" ht="102" x14ac:dyDescent="0.4">
      <c r="A59" s="5" t="s">
        <v>739</v>
      </c>
      <c r="B59" s="2" t="s">
        <v>448</v>
      </c>
      <c r="C59" s="2" t="s">
        <v>59</v>
      </c>
      <c r="D59" s="2" t="s">
        <v>261</v>
      </c>
      <c r="E59" s="2" t="s">
        <v>262</v>
      </c>
      <c r="F59" s="2" t="s">
        <v>261</v>
      </c>
      <c r="G59" s="2"/>
      <c r="H59" s="2"/>
      <c r="I59" s="2"/>
      <c r="J59" s="2"/>
      <c r="K59" s="2"/>
      <c r="L59" s="2"/>
      <c r="M59" s="2"/>
      <c r="N59" s="2"/>
      <c r="O59" s="2" t="s">
        <v>449</v>
      </c>
      <c r="P59" s="2" t="s">
        <v>63</v>
      </c>
      <c r="Q59" s="2"/>
      <c r="R59" s="2"/>
      <c r="S59" s="2"/>
      <c r="T59" s="2" t="s">
        <v>450</v>
      </c>
      <c r="U59" s="2" t="s">
        <v>65</v>
      </c>
      <c r="V59" s="2" t="s">
        <v>66</v>
      </c>
      <c r="W59" s="2" t="s">
        <v>66</v>
      </c>
      <c r="X59" s="2" t="s">
        <v>65</v>
      </c>
      <c r="Y59" s="2" t="s">
        <v>451</v>
      </c>
      <c r="Z59" s="2" t="s">
        <v>452</v>
      </c>
      <c r="AA59" s="2" t="s">
        <v>73</v>
      </c>
      <c r="AB59" s="2" t="s">
        <v>70</v>
      </c>
      <c r="AC59" s="2" t="s">
        <v>71</v>
      </c>
      <c r="AD59" s="2" t="s">
        <v>72</v>
      </c>
      <c r="AE59" s="2"/>
      <c r="AF59" s="2"/>
      <c r="AG59" s="2"/>
      <c r="AH59" s="2" t="s">
        <v>453</v>
      </c>
      <c r="AI59" s="2" t="s">
        <v>454</v>
      </c>
      <c r="AJ59" s="2" t="s">
        <v>455</v>
      </c>
      <c r="AK59" s="2" t="s">
        <v>187</v>
      </c>
      <c r="AL59" s="2" t="s">
        <v>456</v>
      </c>
      <c r="AM59" s="2" t="s">
        <v>203</v>
      </c>
      <c r="AN59" s="2" t="s">
        <v>457</v>
      </c>
      <c r="AO59" s="2"/>
      <c r="AP59" s="2" t="s">
        <v>458</v>
      </c>
      <c r="AQ59" s="2" t="s">
        <v>459</v>
      </c>
      <c r="AR59" s="2" t="s">
        <v>460</v>
      </c>
      <c r="AS59" s="2" t="s">
        <v>461</v>
      </c>
      <c r="AT59" s="2"/>
      <c r="AU59" s="2" t="s">
        <v>462</v>
      </c>
      <c r="AV59" s="2" t="s">
        <v>463</v>
      </c>
      <c r="AW59" s="2" t="s">
        <v>381</v>
      </c>
      <c r="AX59" s="2" t="s">
        <v>507</v>
      </c>
      <c r="AY59" s="2"/>
      <c r="AZ59" s="2" t="s">
        <v>508</v>
      </c>
      <c r="BA59" s="2" t="s">
        <v>509</v>
      </c>
      <c r="BB59" s="2" t="s">
        <v>73</v>
      </c>
      <c r="BC59" s="2" t="s">
        <v>510</v>
      </c>
      <c r="BD59" s="2"/>
      <c r="BE59" s="2"/>
      <c r="BF59" s="2"/>
      <c r="BG59" s="2" t="s">
        <v>90</v>
      </c>
    </row>
    <row r="60" spans="1:59" ht="116.5" x14ac:dyDescent="0.4">
      <c r="A60" s="5" t="s">
        <v>739</v>
      </c>
      <c r="B60" s="2" t="s">
        <v>448</v>
      </c>
      <c r="C60" s="2" t="s">
        <v>59</v>
      </c>
      <c r="D60" s="2" t="s">
        <v>261</v>
      </c>
      <c r="E60" s="2" t="s">
        <v>262</v>
      </c>
      <c r="F60" s="2" t="s">
        <v>261</v>
      </c>
      <c r="G60" s="2"/>
      <c r="H60" s="2"/>
      <c r="I60" s="2"/>
      <c r="J60" s="2"/>
      <c r="K60" s="2"/>
      <c r="L60" s="2"/>
      <c r="M60" s="2"/>
      <c r="N60" s="2"/>
      <c r="O60" s="2" t="s">
        <v>449</v>
      </c>
      <c r="P60" s="2" t="s">
        <v>63</v>
      </c>
      <c r="Q60" s="2"/>
      <c r="R60" s="2"/>
      <c r="S60" s="2"/>
      <c r="T60" s="2" t="s">
        <v>450</v>
      </c>
      <c r="U60" s="2" t="s">
        <v>65</v>
      </c>
      <c r="V60" s="2" t="s">
        <v>66</v>
      </c>
      <c r="W60" s="2" t="s">
        <v>66</v>
      </c>
      <c r="X60" s="2" t="s">
        <v>65</v>
      </c>
      <c r="Y60" s="2" t="s">
        <v>451</v>
      </c>
      <c r="Z60" s="2" t="s">
        <v>452</v>
      </c>
      <c r="AA60" s="2" t="s">
        <v>73</v>
      </c>
      <c r="AB60" s="2" t="s">
        <v>70</v>
      </c>
      <c r="AC60" s="2" t="s">
        <v>71</v>
      </c>
      <c r="AD60" s="2" t="s">
        <v>72</v>
      </c>
      <c r="AE60" s="2"/>
      <c r="AF60" s="2"/>
      <c r="AG60" s="2"/>
      <c r="AH60" s="2" t="s">
        <v>453</v>
      </c>
      <c r="AI60" s="2" t="s">
        <v>454</v>
      </c>
      <c r="AJ60" s="2" t="s">
        <v>455</v>
      </c>
      <c r="AK60" s="2" t="s">
        <v>187</v>
      </c>
      <c r="AL60" s="2" t="s">
        <v>456</v>
      </c>
      <c r="AM60" s="2" t="s">
        <v>203</v>
      </c>
      <c r="AN60" s="2" t="s">
        <v>457</v>
      </c>
      <c r="AO60" s="2"/>
      <c r="AP60" s="2" t="s">
        <v>458</v>
      </c>
      <c r="AQ60" s="2" t="s">
        <v>459</v>
      </c>
      <c r="AR60" s="2" t="s">
        <v>460</v>
      </c>
      <c r="AS60" s="2" t="s">
        <v>461</v>
      </c>
      <c r="AT60" s="2"/>
      <c r="AU60" s="2" t="s">
        <v>462</v>
      </c>
      <c r="AV60" s="2" t="s">
        <v>463</v>
      </c>
      <c r="AW60" s="2" t="s">
        <v>214</v>
      </c>
      <c r="AX60" s="2" t="s">
        <v>511</v>
      </c>
      <c r="AY60" s="2"/>
      <c r="AZ60" s="2" t="s">
        <v>508</v>
      </c>
      <c r="BA60" s="2" t="s">
        <v>509</v>
      </c>
      <c r="BB60" s="2" t="s">
        <v>73</v>
      </c>
      <c r="BC60" s="2" t="s">
        <v>512</v>
      </c>
      <c r="BD60" s="2"/>
      <c r="BE60" s="2"/>
      <c r="BF60" s="2"/>
      <c r="BG60" s="2" t="s">
        <v>90</v>
      </c>
    </row>
    <row r="61" spans="1:59" ht="87.5" x14ac:dyDescent="0.4">
      <c r="A61" s="5" t="s">
        <v>739</v>
      </c>
      <c r="B61" s="2" t="s">
        <v>448</v>
      </c>
      <c r="C61" s="2" t="s">
        <v>59</v>
      </c>
      <c r="D61" s="2" t="s">
        <v>261</v>
      </c>
      <c r="E61" s="2" t="s">
        <v>262</v>
      </c>
      <c r="F61" s="2" t="s">
        <v>261</v>
      </c>
      <c r="G61" s="2"/>
      <c r="H61" s="2"/>
      <c r="I61" s="2"/>
      <c r="J61" s="2"/>
      <c r="K61" s="2"/>
      <c r="L61" s="2"/>
      <c r="M61" s="2"/>
      <c r="N61" s="2"/>
      <c r="O61" s="2" t="s">
        <v>449</v>
      </c>
      <c r="P61" s="2" t="s">
        <v>63</v>
      </c>
      <c r="Q61" s="2"/>
      <c r="R61" s="2"/>
      <c r="S61" s="2"/>
      <c r="T61" s="2" t="s">
        <v>450</v>
      </c>
      <c r="U61" s="2" t="s">
        <v>65</v>
      </c>
      <c r="V61" s="2" t="s">
        <v>66</v>
      </c>
      <c r="W61" s="2" t="s">
        <v>66</v>
      </c>
      <c r="X61" s="2" t="s">
        <v>65</v>
      </c>
      <c r="Y61" s="2" t="s">
        <v>451</v>
      </c>
      <c r="Z61" s="2" t="s">
        <v>452</v>
      </c>
      <c r="AA61" s="2" t="s">
        <v>73</v>
      </c>
      <c r="AB61" s="2" t="s">
        <v>70</v>
      </c>
      <c r="AC61" s="2" t="s">
        <v>71</v>
      </c>
      <c r="AD61" s="2" t="s">
        <v>72</v>
      </c>
      <c r="AE61" s="2"/>
      <c r="AF61" s="2"/>
      <c r="AG61" s="2"/>
      <c r="AH61" s="2" t="s">
        <v>453</v>
      </c>
      <c r="AI61" s="2" t="s">
        <v>454</v>
      </c>
      <c r="AJ61" s="2" t="s">
        <v>455</v>
      </c>
      <c r="AK61" s="2" t="s">
        <v>187</v>
      </c>
      <c r="AL61" s="2" t="s">
        <v>513</v>
      </c>
      <c r="AM61" s="2" t="s">
        <v>514</v>
      </c>
      <c r="AN61" s="2" t="s">
        <v>515</v>
      </c>
      <c r="AO61" s="2"/>
      <c r="AP61" s="2" t="s">
        <v>458</v>
      </c>
      <c r="AQ61" s="2" t="s">
        <v>459</v>
      </c>
      <c r="AR61" s="2" t="s">
        <v>460</v>
      </c>
      <c r="AS61" s="2" t="s">
        <v>461</v>
      </c>
      <c r="AT61" s="2"/>
      <c r="AU61" s="2" t="s">
        <v>462</v>
      </c>
      <c r="AV61" s="2" t="s">
        <v>463</v>
      </c>
      <c r="AW61" s="2" t="s">
        <v>73</v>
      </c>
      <c r="AX61" s="2" t="s">
        <v>476</v>
      </c>
      <c r="AY61" s="2"/>
      <c r="AZ61" s="2" t="s">
        <v>477</v>
      </c>
      <c r="BA61" s="2" t="s">
        <v>478</v>
      </c>
      <c r="BB61" s="2" t="s">
        <v>73</v>
      </c>
      <c r="BC61" s="2" t="s">
        <v>479</v>
      </c>
      <c r="BD61" s="2"/>
      <c r="BE61" s="2"/>
      <c r="BF61" s="2"/>
      <c r="BG61" s="2" t="s">
        <v>90</v>
      </c>
    </row>
    <row r="62" spans="1:59" ht="29.5" x14ac:dyDescent="0.4">
      <c r="A62" s="5" t="s">
        <v>739</v>
      </c>
      <c r="B62" s="2" t="s">
        <v>448</v>
      </c>
      <c r="C62" s="2" t="s">
        <v>59</v>
      </c>
      <c r="D62" s="2" t="s">
        <v>261</v>
      </c>
      <c r="E62" s="2" t="s">
        <v>262</v>
      </c>
      <c r="F62" s="2" t="s">
        <v>261</v>
      </c>
      <c r="G62" s="2"/>
      <c r="H62" s="2"/>
      <c r="I62" s="2"/>
      <c r="J62" s="2"/>
      <c r="K62" s="2"/>
      <c r="L62" s="2"/>
      <c r="M62" s="2"/>
      <c r="N62" s="2"/>
      <c r="O62" s="2" t="s">
        <v>449</v>
      </c>
      <c r="P62" s="2" t="s">
        <v>63</v>
      </c>
      <c r="Q62" s="2"/>
      <c r="R62" s="2"/>
      <c r="S62" s="2"/>
      <c r="T62" s="2" t="s">
        <v>450</v>
      </c>
      <c r="U62" s="2" t="s">
        <v>65</v>
      </c>
      <c r="V62" s="2" t="s">
        <v>66</v>
      </c>
      <c r="W62" s="2" t="s">
        <v>66</v>
      </c>
      <c r="X62" s="2" t="s">
        <v>65</v>
      </c>
      <c r="Y62" s="2" t="s">
        <v>451</v>
      </c>
      <c r="Z62" s="2" t="s">
        <v>452</v>
      </c>
      <c r="AA62" s="2" t="s">
        <v>73</v>
      </c>
      <c r="AB62" s="2" t="s">
        <v>70</v>
      </c>
      <c r="AC62" s="2" t="s">
        <v>71</v>
      </c>
      <c r="AD62" s="2" t="s">
        <v>72</v>
      </c>
      <c r="AE62" s="2"/>
      <c r="AF62" s="2"/>
      <c r="AG62" s="2"/>
      <c r="AH62" s="2" t="s">
        <v>453</v>
      </c>
      <c r="AI62" s="2" t="s">
        <v>454</v>
      </c>
      <c r="AJ62" s="2" t="s">
        <v>455</v>
      </c>
      <c r="AK62" s="2" t="s">
        <v>187</v>
      </c>
      <c r="AL62" s="2" t="s">
        <v>513</v>
      </c>
      <c r="AM62" s="2" t="s">
        <v>514</v>
      </c>
      <c r="AN62" s="2" t="s">
        <v>515</v>
      </c>
      <c r="AO62" s="2"/>
      <c r="AP62" s="2" t="s">
        <v>458</v>
      </c>
      <c r="AQ62" s="2" t="s">
        <v>459</v>
      </c>
      <c r="AR62" s="2" t="s">
        <v>460</v>
      </c>
      <c r="AS62" s="2" t="s">
        <v>461</v>
      </c>
      <c r="AT62" s="2"/>
      <c r="AU62" s="2" t="s">
        <v>462</v>
      </c>
      <c r="AV62" s="2" t="s">
        <v>463</v>
      </c>
      <c r="AW62" s="2" t="s">
        <v>91</v>
      </c>
      <c r="AX62" s="2" t="s">
        <v>516</v>
      </c>
      <c r="AY62" s="2"/>
      <c r="AZ62" s="2" t="s">
        <v>497</v>
      </c>
      <c r="BA62" s="2" t="s">
        <v>517</v>
      </c>
      <c r="BB62" s="2" t="s">
        <v>73</v>
      </c>
      <c r="BC62" s="2" t="s">
        <v>518</v>
      </c>
      <c r="BD62" s="2"/>
      <c r="BE62" s="2"/>
      <c r="BF62" s="2"/>
      <c r="BG62" s="2" t="s">
        <v>90</v>
      </c>
    </row>
    <row r="63" spans="1:59" ht="116.5" x14ac:dyDescent="0.4">
      <c r="A63" s="5" t="s">
        <v>739</v>
      </c>
      <c r="B63" s="2" t="s">
        <v>448</v>
      </c>
      <c r="C63" s="2" t="s">
        <v>59</v>
      </c>
      <c r="D63" s="2" t="s">
        <v>261</v>
      </c>
      <c r="E63" s="2" t="s">
        <v>262</v>
      </c>
      <c r="F63" s="2" t="s">
        <v>261</v>
      </c>
      <c r="G63" s="2"/>
      <c r="H63" s="2"/>
      <c r="I63" s="2"/>
      <c r="J63" s="2"/>
      <c r="K63" s="2"/>
      <c r="L63" s="2"/>
      <c r="M63" s="2"/>
      <c r="N63" s="2"/>
      <c r="O63" s="2" t="s">
        <v>449</v>
      </c>
      <c r="P63" s="2" t="s">
        <v>63</v>
      </c>
      <c r="Q63" s="2"/>
      <c r="R63" s="2"/>
      <c r="S63" s="2"/>
      <c r="T63" s="2" t="s">
        <v>450</v>
      </c>
      <c r="U63" s="2" t="s">
        <v>65</v>
      </c>
      <c r="V63" s="2" t="s">
        <v>66</v>
      </c>
      <c r="W63" s="2" t="s">
        <v>66</v>
      </c>
      <c r="X63" s="2" t="s">
        <v>65</v>
      </c>
      <c r="Y63" s="2" t="s">
        <v>451</v>
      </c>
      <c r="Z63" s="2" t="s">
        <v>452</v>
      </c>
      <c r="AA63" s="2" t="s">
        <v>73</v>
      </c>
      <c r="AB63" s="2" t="s">
        <v>70</v>
      </c>
      <c r="AC63" s="2" t="s">
        <v>71</v>
      </c>
      <c r="AD63" s="2" t="s">
        <v>72</v>
      </c>
      <c r="AE63" s="2"/>
      <c r="AF63" s="2"/>
      <c r="AG63" s="2"/>
      <c r="AH63" s="2" t="s">
        <v>453</v>
      </c>
      <c r="AI63" s="2" t="s">
        <v>454</v>
      </c>
      <c r="AJ63" s="2" t="s">
        <v>455</v>
      </c>
      <c r="AK63" s="2" t="s">
        <v>187</v>
      </c>
      <c r="AL63" s="2" t="s">
        <v>513</v>
      </c>
      <c r="AM63" s="2" t="s">
        <v>514</v>
      </c>
      <c r="AN63" s="2" t="s">
        <v>515</v>
      </c>
      <c r="AO63" s="2"/>
      <c r="AP63" s="2" t="s">
        <v>458</v>
      </c>
      <c r="AQ63" s="2" t="s">
        <v>459</v>
      </c>
      <c r="AR63" s="2" t="s">
        <v>460</v>
      </c>
      <c r="AS63" s="2" t="s">
        <v>461</v>
      </c>
      <c r="AT63" s="2"/>
      <c r="AU63" s="2" t="s">
        <v>462</v>
      </c>
      <c r="AV63" s="2" t="s">
        <v>463</v>
      </c>
      <c r="AW63" s="2" t="s">
        <v>88</v>
      </c>
      <c r="AX63" s="2" t="s">
        <v>484</v>
      </c>
      <c r="AY63" s="2"/>
      <c r="AZ63" s="2" t="s">
        <v>485</v>
      </c>
      <c r="BA63" s="2" t="s">
        <v>486</v>
      </c>
      <c r="BB63" s="2" t="s">
        <v>91</v>
      </c>
      <c r="BC63" s="2" t="s">
        <v>519</v>
      </c>
      <c r="BD63" s="2"/>
      <c r="BE63" s="2"/>
      <c r="BF63" s="2"/>
      <c r="BG63" s="2" t="s">
        <v>90</v>
      </c>
    </row>
    <row r="64" spans="1:59" ht="102" x14ac:dyDescent="0.4">
      <c r="A64" s="5" t="s">
        <v>739</v>
      </c>
      <c r="B64" s="2" t="s">
        <v>448</v>
      </c>
      <c r="C64" s="2" t="s">
        <v>59</v>
      </c>
      <c r="D64" s="2" t="s">
        <v>261</v>
      </c>
      <c r="E64" s="2" t="s">
        <v>262</v>
      </c>
      <c r="F64" s="2" t="s">
        <v>261</v>
      </c>
      <c r="G64" s="2"/>
      <c r="H64" s="2"/>
      <c r="I64" s="2"/>
      <c r="J64" s="2"/>
      <c r="K64" s="2"/>
      <c r="L64" s="2"/>
      <c r="M64" s="2"/>
      <c r="N64" s="2"/>
      <c r="O64" s="2" t="s">
        <v>449</v>
      </c>
      <c r="P64" s="2" t="s">
        <v>63</v>
      </c>
      <c r="Q64" s="2"/>
      <c r="R64" s="2"/>
      <c r="S64" s="2"/>
      <c r="T64" s="2" t="s">
        <v>450</v>
      </c>
      <c r="U64" s="2" t="s">
        <v>65</v>
      </c>
      <c r="V64" s="2" t="s">
        <v>66</v>
      </c>
      <c r="W64" s="2" t="s">
        <v>66</v>
      </c>
      <c r="X64" s="2" t="s">
        <v>65</v>
      </c>
      <c r="Y64" s="2" t="s">
        <v>451</v>
      </c>
      <c r="Z64" s="2" t="s">
        <v>452</v>
      </c>
      <c r="AA64" s="2" t="s">
        <v>73</v>
      </c>
      <c r="AB64" s="2" t="s">
        <v>70</v>
      </c>
      <c r="AC64" s="2" t="s">
        <v>71</v>
      </c>
      <c r="AD64" s="2" t="s">
        <v>72</v>
      </c>
      <c r="AE64" s="2"/>
      <c r="AF64" s="2"/>
      <c r="AG64" s="2"/>
      <c r="AH64" s="2" t="s">
        <v>453</v>
      </c>
      <c r="AI64" s="2" t="s">
        <v>454</v>
      </c>
      <c r="AJ64" s="2" t="s">
        <v>455</v>
      </c>
      <c r="AK64" s="2" t="s">
        <v>187</v>
      </c>
      <c r="AL64" s="2" t="s">
        <v>513</v>
      </c>
      <c r="AM64" s="2" t="s">
        <v>514</v>
      </c>
      <c r="AN64" s="2" t="s">
        <v>515</v>
      </c>
      <c r="AO64" s="2"/>
      <c r="AP64" s="2" t="s">
        <v>458</v>
      </c>
      <c r="AQ64" s="2" t="s">
        <v>459</v>
      </c>
      <c r="AR64" s="2" t="s">
        <v>460</v>
      </c>
      <c r="AS64" s="2" t="s">
        <v>461</v>
      </c>
      <c r="AT64" s="2"/>
      <c r="AU64" s="2" t="s">
        <v>462</v>
      </c>
      <c r="AV64" s="2" t="s">
        <v>463</v>
      </c>
      <c r="AW64" s="2" t="s">
        <v>143</v>
      </c>
      <c r="AX64" s="2" t="s">
        <v>490</v>
      </c>
      <c r="AY64" s="2"/>
      <c r="AZ64" s="2" t="s">
        <v>485</v>
      </c>
      <c r="BA64" s="2" t="s">
        <v>486</v>
      </c>
      <c r="BB64" s="2" t="s">
        <v>91</v>
      </c>
      <c r="BC64" s="2" t="s">
        <v>492</v>
      </c>
      <c r="BD64" s="2"/>
      <c r="BE64" s="2"/>
      <c r="BF64" s="2"/>
      <c r="BG64" s="2" t="s">
        <v>90</v>
      </c>
    </row>
    <row r="65" spans="1:59" ht="116.5" x14ac:dyDescent="0.4">
      <c r="A65" s="5" t="s">
        <v>739</v>
      </c>
      <c r="B65" s="2" t="s">
        <v>448</v>
      </c>
      <c r="C65" s="2" t="s">
        <v>59</v>
      </c>
      <c r="D65" s="2" t="s">
        <v>261</v>
      </c>
      <c r="E65" s="2" t="s">
        <v>262</v>
      </c>
      <c r="F65" s="2" t="s">
        <v>261</v>
      </c>
      <c r="G65" s="2"/>
      <c r="H65" s="2"/>
      <c r="I65" s="2"/>
      <c r="J65" s="2"/>
      <c r="K65" s="2"/>
      <c r="L65" s="2"/>
      <c r="M65" s="2"/>
      <c r="N65" s="2"/>
      <c r="O65" s="2" t="s">
        <v>449</v>
      </c>
      <c r="P65" s="2" t="s">
        <v>63</v>
      </c>
      <c r="Q65" s="2"/>
      <c r="R65" s="2"/>
      <c r="S65" s="2"/>
      <c r="T65" s="2" t="s">
        <v>450</v>
      </c>
      <c r="U65" s="2" t="s">
        <v>65</v>
      </c>
      <c r="V65" s="2" t="s">
        <v>66</v>
      </c>
      <c r="W65" s="2" t="s">
        <v>66</v>
      </c>
      <c r="X65" s="2" t="s">
        <v>65</v>
      </c>
      <c r="Y65" s="2" t="s">
        <v>451</v>
      </c>
      <c r="Z65" s="2" t="s">
        <v>452</v>
      </c>
      <c r="AA65" s="2" t="s">
        <v>73</v>
      </c>
      <c r="AB65" s="2" t="s">
        <v>70</v>
      </c>
      <c r="AC65" s="2" t="s">
        <v>71</v>
      </c>
      <c r="AD65" s="2" t="s">
        <v>72</v>
      </c>
      <c r="AE65" s="2"/>
      <c r="AF65" s="2"/>
      <c r="AG65" s="2"/>
      <c r="AH65" s="2" t="s">
        <v>453</v>
      </c>
      <c r="AI65" s="2" t="s">
        <v>454</v>
      </c>
      <c r="AJ65" s="2" t="s">
        <v>455</v>
      </c>
      <c r="AK65" s="2" t="s">
        <v>187</v>
      </c>
      <c r="AL65" s="2" t="s">
        <v>513</v>
      </c>
      <c r="AM65" s="2" t="s">
        <v>514</v>
      </c>
      <c r="AN65" s="2" t="s">
        <v>515</v>
      </c>
      <c r="AO65" s="2"/>
      <c r="AP65" s="2" t="s">
        <v>458</v>
      </c>
      <c r="AQ65" s="2" t="s">
        <v>459</v>
      </c>
      <c r="AR65" s="2" t="s">
        <v>460</v>
      </c>
      <c r="AS65" s="2" t="s">
        <v>461</v>
      </c>
      <c r="AT65" s="2"/>
      <c r="AU65" s="2" t="s">
        <v>462</v>
      </c>
      <c r="AV65" s="2" t="s">
        <v>463</v>
      </c>
      <c r="AW65" s="2" t="s">
        <v>69</v>
      </c>
      <c r="AX65" s="2" t="s">
        <v>501</v>
      </c>
      <c r="AY65" s="2"/>
      <c r="AZ65" s="2" t="s">
        <v>502</v>
      </c>
      <c r="BA65" s="2" t="s">
        <v>503</v>
      </c>
      <c r="BB65" s="2" t="s">
        <v>73</v>
      </c>
      <c r="BC65" s="2" t="s">
        <v>504</v>
      </c>
      <c r="BD65" s="2"/>
      <c r="BE65" s="2"/>
      <c r="BF65" s="2"/>
      <c r="BG65" s="2" t="s">
        <v>90</v>
      </c>
    </row>
    <row r="66" spans="1:59" ht="116.5" x14ac:dyDescent="0.4">
      <c r="A66" s="5" t="s">
        <v>739</v>
      </c>
      <c r="B66" s="2" t="s">
        <v>448</v>
      </c>
      <c r="C66" s="2" t="s">
        <v>59</v>
      </c>
      <c r="D66" s="2" t="s">
        <v>261</v>
      </c>
      <c r="E66" s="2" t="s">
        <v>262</v>
      </c>
      <c r="F66" s="2" t="s">
        <v>261</v>
      </c>
      <c r="G66" s="2"/>
      <c r="H66" s="2"/>
      <c r="I66" s="2"/>
      <c r="J66" s="2"/>
      <c r="K66" s="2"/>
      <c r="L66" s="2"/>
      <c r="M66" s="2"/>
      <c r="N66" s="2"/>
      <c r="O66" s="2" t="s">
        <v>449</v>
      </c>
      <c r="P66" s="2" t="s">
        <v>63</v>
      </c>
      <c r="Q66" s="2"/>
      <c r="R66" s="2"/>
      <c r="S66" s="2"/>
      <c r="T66" s="2" t="s">
        <v>450</v>
      </c>
      <c r="U66" s="2" t="s">
        <v>65</v>
      </c>
      <c r="V66" s="2" t="s">
        <v>66</v>
      </c>
      <c r="W66" s="2" t="s">
        <v>66</v>
      </c>
      <c r="X66" s="2" t="s">
        <v>65</v>
      </c>
      <c r="Y66" s="2" t="s">
        <v>451</v>
      </c>
      <c r="Z66" s="2" t="s">
        <v>452</v>
      </c>
      <c r="AA66" s="2" t="s">
        <v>73</v>
      </c>
      <c r="AB66" s="2" t="s">
        <v>70</v>
      </c>
      <c r="AC66" s="2" t="s">
        <v>71</v>
      </c>
      <c r="AD66" s="2" t="s">
        <v>72</v>
      </c>
      <c r="AE66" s="2"/>
      <c r="AF66" s="2"/>
      <c r="AG66" s="2"/>
      <c r="AH66" s="2" t="s">
        <v>453</v>
      </c>
      <c r="AI66" s="2" t="s">
        <v>454</v>
      </c>
      <c r="AJ66" s="2" t="s">
        <v>455</v>
      </c>
      <c r="AK66" s="2" t="s">
        <v>187</v>
      </c>
      <c r="AL66" s="2" t="s">
        <v>520</v>
      </c>
      <c r="AM66" s="2" t="s">
        <v>521</v>
      </c>
      <c r="AN66" s="2" t="s">
        <v>522</v>
      </c>
      <c r="AO66" s="2"/>
      <c r="AP66" s="2" t="s">
        <v>458</v>
      </c>
      <c r="AQ66" s="2" t="s">
        <v>459</v>
      </c>
      <c r="AR66" s="2" t="s">
        <v>460</v>
      </c>
      <c r="AS66" s="2" t="s">
        <v>461</v>
      </c>
      <c r="AT66" s="2"/>
      <c r="AU66" s="2" t="s">
        <v>462</v>
      </c>
      <c r="AV66" s="2" t="s">
        <v>463</v>
      </c>
      <c r="AW66" s="2" t="s">
        <v>73</v>
      </c>
      <c r="AX66" s="2" t="s">
        <v>472</v>
      </c>
      <c r="AY66" s="2"/>
      <c r="AZ66" s="2" t="s">
        <v>473</v>
      </c>
      <c r="BA66" s="2" t="s">
        <v>474</v>
      </c>
      <c r="BB66" s="2" t="s">
        <v>73</v>
      </c>
      <c r="BC66" s="2" t="s">
        <v>523</v>
      </c>
      <c r="BD66" s="2"/>
      <c r="BE66" s="2"/>
      <c r="BF66" s="2"/>
      <c r="BG66" s="2" t="s">
        <v>90</v>
      </c>
    </row>
    <row r="67" spans="1:59" ht="87.5" x14ac:dyDescent="0.4">
      <c r="A67" s="5" t="s">
        <v>739</v>
      </c>
      <c r="B67" s="2" t="s">
        <v>448</v>
      </c>
      <c r="C67" s="2" t="s">
        <v>59</v>
      </c>
      <c r="D67" s="2" t="s">
        <v>261</v>
      </c>
      <c r="E67" s="2" t="s">
        <v>262</v>
      </c>
      <c r="F67" s="2" t="s">
        <v>261</v>
      </c>
      <c r="G67" s="2"/>
      <c r="H67" s="2"/>
      <c r="I67" s="2"/>
      <c r="J67" s="2"/>
      <c r="K67" s="2"/>
      <c r="L67" s="2"/>
      <c r="M67" s="2"/>
      <c r="N67" s="2"/>
      <c r="O67" s="2" t="s">
        <v>449</v>
      </c>
      <c r="P67" s="2" t="s">
        <v>63</v>
      </c>
      <c r="Q67" s="2"/>
      <c r="R67" s="2"/>
      <c r="S67" s="2"/>
      <c r="T67" s="2" t="s">
        <v>450</v>
      </c>
      <c r="U67" s="2" t="s">
        <v>65</v>
      </c>
      <c r="V67" s="2" t="s">
        <v>66</v>
      </c>
      <c r="W67" s="2" t="s">
        <v>66</v>
      </c>
      <c r="X67" s="2" t="s">
        <v>65</v>
      </c>
      <c r="Y67" s="2" t="s">
        <v>451</v>
      </c>
      <c r="Z67" s="2" t="s">
        <v>452</v>
      </c>
      <c r="AA67" s="2" t="s">
        <v>73</v>
      </c>
      <c r="AB67" s="2" t="s">
        <v>70</v>
      </c>
      <c r="AC67" s="2" t="s">
        <v>71</v>
      </c>
      <c r="AD67" s="2" t="s">
        <v>72</v>
      </c>
      <c r="AE67" s="2"/>
      <c r="AF67" s="2"/>
      <c r="AG67" s="2"/>
      <c r="AH67" s="2" t="s">
        <v>453</v>
      </c>
      <c r="AI67" s="2" t="s">
        <v>454</v>
      </c>
      <c r="AJ67" s="2" t="s">
        <v>455</v>
      </c>
      <c r="AK67" s="2" t="s">
        <v>187</v>
      </c>
      <c r="AL67" s="2" t="s">
        <v>520</v>
      </c>
      <c r="AM67" s="2" t="s">
        <v>521</v>
      </c>
      <c r="AN67" s="2" t="s">
        <v>522</v>
      </c>
      <c r="AO67" s="2"/>
      <c r="AP67" s="2" t="s">
        <v>458</v>
      </c>
      <c r="AQ67" s="2" t="s">
        <v>459</v>
      </c>
      <c r="AR67" s="2" t="s">
        <v>460</v>
      </c>
      <c r="AS67" s="2" t="s">
        <v>461</v>
      </c>
      <c r="AT67" s="2"/>
      <c r="AU67" s="2" t="s">
        <v>462</v>
      </c>
      <c r="AV67" s="2" t="s">
        <v>463</v>
      </c>
      <c r="AW67" s="2" t="s">
        <v>91</v>
      </c>
      <c r="AX67" s="2" t="s">
        <v>476</v>
      </c>
      <c r="AY67" s="2"/>
      <c r="AZ67" s="2" t="s">
        <v>477</v>
      </c>
      <c r="BA67" s="2" t="s">
        <v>478</v>
      </c>
      <c r="BB67" s="2" t="s">
        <v>73</v>
      </c>
      <c r="BC67" s="2" t="s">
        <v>479</v>
      </c>
      <c r="BD67" s="2"/>
      <c r="BE67" s="2"/>
      <c r="BF67" s="2"/>
      <c r="BG67" s="2" t="s">
        <v>90</v>
      </c>
    </row>
    <row r="68" spans="1:59" ht="87.5" x14ac:dyDescent="0.4">
      <c r="A68" s="5" t="s">
        <v>739</v>
      </c>
      <c r="B68" s="2" t="s">
        <v>448</v>
      </c>
      <c r="C68" s="2" t="s">
        <v>59</v>
      </c>
      <c r="D68" s="2" t="s">
        <v>261</v>
      </c>
      <c r="E68" s="2" t="s">
        <v>262</v>
      </c>
      <c r="F68" s="2" t="s">
        <v>261</v>
      </c>
      <c r="G68" s="2"/>
      <c r="H68" s="2"/>
      <c r="I68" s="2"/>
      <c r="J68" s="2"/>
      <c r="K68" s="2"/>
      <c r="L68" s="2"/>
      <c r="M68" s="2"/>
      <c r="N68" s="2"/>
      <c r="O68" s="2" t="s">
        <v>449</v>
      </c>
      <c r="P68" s="2" t="s">
        <v>63</v>
      </c>
      <c r="Q68" s="2"/>
      <c r="R68" s="2"/>
      <c r="S68" s="2"/>
      <c r="T68" s="2" t="s">
        <v>450</v>
      </c>
      <c r="U68" s="2" t="s">
        <v>65</v>
      </c>
      <c r="V68" s="2" t="s">
        <v>66</v>
      </c>
      <c r="W68" s="2" t="s">
        <v>66</v>
      </c>
      <c r="X68" s="2" t="s">
        <v>65</v>
      </c>
      <c r="Y68" s="2" t="s">
        <v>451</v>
      </c>
      <c r="Z68" s="2" t="s">
        <v>452</v>
      </c>
      <c r="AA68" s="2" t="s">
        <v>73</v>
      </c>
      <c r="AB68" s="2" t="s">
        <v>70</v>
      </c>
      <c r="AC68" s="2" t="s">
        <v>71</v>
      </c>
      <c r="AD68" s="2" t="s">
        <v>72</v>
      </c>
      <c r="AE68" s="2"/>
      <c r="AF68" s="2"/>
      <c r="AG68" s="2"/>
      <c r="AH68" s="2" t="s">
        <v>453</v>
      </c>
      <c r="AI68" s="2" t="s">
        <v>454</v>
      </c>
      <c r="AJ68" s="2" t="s">
        <v>455</v>
      </c>
      <c r="AK68" s="2" t="s">
        <v>187</v>
      </c>
      <c r="AL68" s="2" t="s">
        <v>520</v>
      </c>
      <c r="AM68" s="2" t="s">
        <v>521</v>
      </c>
      <c r="AN68" s="2" t="s">
        <v>522</v>
      </c>
      <c r="AO68" s="2"/>
      <c r="AP68" s="2" t="s">
        <v>458</v>
      </c>
      <c r="AQ68" s="2" t="s">
        <v>459</v>
      </c>
      <c r="AR68" s="2" t="s">
        <v>460</v>
      </c>
      <c r="AS68" s="2" t="s">
        <v>461</v>
      </c>
      <c r="AT68" s="2"/>
      <c r="AU68" s="2" t="s">
        <v>462</v>
      </c>
      <c r="AV68" s="2" t="s">
        <v>463</v>
      </c>
      <c r="AW68" s="2" t="s">
        <v>88</v>
      </c>
      <c r="AX68" s="2" t="s">
        <v>476</v>
      </c>
      <c r="AY68" s="2"/>
      <c r="AZ68" s="2" t="s">
        <v>477</v>
      </c>
      <c r="BA68" s="2" t="s">
        <v>478</v>
      </c>
      <c r="BB68" s="2" t="s">
        <v>73</v>
      </c>
      <c r="BC68" s="2" t="s">
        <v>479</v>
      </c>
      <c r="BD68" s="2"/>
      <c r="BE68" s="2"/>
      <c r="BF68" s="2"/>
      <c r="BG68" s="2" t="s">
        <v>90</v>
      </c>
    </row>
    <row r="69" spans="1:59" ht="29.5" x14ac:dyDescent="0.4">
      <c r="A69" s="5" t="s">
        <v>739</v>
      </c>
      <c r="B69" s="2" t="s">
        <v>448</v>
      </c>
      <c r="C69" s="2" t="s">
        <v>59</v>
      </c>
      <c r="D69" s="2" t="s">
        <v>261</v>
      </c>
      <c r="E69" s="2" t="s">
        <v>262</v>
      </c>
      <c r="F69" s="2" t="s">
        <v>261</v>
      </c>
      <c r="G69" s="2"/>
      <c r="H69" s="2"/>
      <c r="I69" s="2"/>
      <c r="J69" s="2"/>
      <c r="K69" s="2"/>
      <c r="L69" s="2"/>
      <c r="M69" s="2"/>
      <c r="N69" s="2"/>
      <c r="O69" s="2" t="s">
        <v>449</v>
      </c>
      <c r="P69" s="2" t="s">
        <v>63</v>
      </c>
      <c r="Q69" s="2"/>
      <c r="R69" s="2"/>
      <c r="S69" s="2"/>
      <c r="T69" s="2" t="s">
        <v>450</v>
      </c>
      <c r="U69" s="2" t="s">
        <v>65</v>
      </c>
      <c r="V69" s="2" t="s">
        <v>66</v>
      </c>
      <c r="W69" s="2" t="s">
        <v>66</v>
      </c>
      <c r="X69" s="2" t="s">
        <v>65</v>
      </c>
      <c r="Y69" s="2" t="s">
        <v>451</v>
      </c>
      <c r="Z69" s="2" t="s">
        <v>452</v>
      </c>
      <c r="AA69" s="2" t="s">
        <v>73</v>
      </c>
      <c r="AB69" s="2" t="s">
        <v>70</v>
      </c>
      <c r="AC69" s="2" t="s">
        <v>71</v>
      </c>
      <c r="AD69" s="2" t="s">
        <v>72</v>
      </c>
      <c r="AE69" s="2"/>
      <c r="AF69" s="2"/>
      <c r="AG69" s="2"/>
      <c r="AH69" s="2" t="s">
        <v>453</v>
      </c>
      <c r="AI69" s="2" t="s">
        <v>454</v>
      </c>
      <c r="AJ69" s="2" t="s">
        <v>455</v>
      </c>
      <c r="AK69" s="2" t="s">
        <v>187</v>
      </c>
      <c r="AL69" s="2" t="s">
        <v>520</v>
      </c>
      <c r="AM69" s="2" t="s">
        <v>521</v>
      </c>
      <c r="AN69" s="2" t="s">
        <v>522</v>
      </c>
      <c r="AO69" s="2"/>
      <c r="AP69" s="2" t="s">
        <v>458</v>
      </c>
      <c r="AQ69" s="2" t="s">
        <v>459</v>
      </c>
      <c r="AR69" s="2" t="s">
        <v>460</v>
      </c>
      <c r="AS69" s="2" t="s">
        <v>461</v>
      </c>
      <c r="AT69" s="2"/>
      <c r="AU69" s="2" t="s">
        <v>462</v>
      </c>
      <c r="AV69" s="2" t="s">
        <v>463</v>
      </c>
      <c r="AW69" s="2" t="s">
        <v>143</v>
      </c>
      <c r="AX69" s="2" t="s">
        <v>516</v>
      </c>
      <c r="AY69" s="2"/>
      <c r="AZ69" s="2" t="s">
        <v>497</v>
      </c>
      <c r="BA69" s="2" t="s">
        <v>517</v>
      </c>
      <c r="BB69" s="2" t="s">
        <v>73</v>
      </c>
      <c r="BC69" s="2" t="s">
        <v>518</v>
      </c>
      <c r="BD69" s="2"/>
      <c r="BE69" s="2"/>
      <c r="BF69" s="2"/>
      <c r="BG69" s="2" t="s">
        <v>90</v>
      </c>
    </row>
    <row r="70" spans="1:59" ht="29.5" x14ac:dyDescent="0.4">
      <c r="A70" s="5" t="s">
        <v>739</v>
      </c>
      <c r="B70" s="2" t="s">
        <v>448</v>
      </c>
      <c r="C70" s="2" t="s">
        <v>59</v>
      </c>
      <c r="D70" s="2" t="s">
        <v>261</v>
      </c>
      <c r="E70" s="2" t="s">
        <v>262</v>
      </c>
      <c r="F70" s="2" t="s">
        <v>261</v>
      </c>
      <c r="G70" s="2"/>
      <c r="H70" s="2"/>
      <c r="I70" s="2"/>
      <c r="J70" s="2"/>
      <c r="K70" s="2"/>
      <c r="L70" s="2"/>
      <c r="M70" s="2"/>
      <c r="N70" s="2"/>
      <c r="O70" s="2" t="s">
        <v>449</v>
      </c>
      <c r="P70" s="2" t="s">
        <v>63</v>
      </c>
      <c r="Q70" s="2"/>
      <c r="R70" s="2"/>
      <c r="S70" s="2"/>
      <c r="T70" s="2" t="s">
        <v>450</v>
      </c>
      <c r="U70" s="2" t="s">
        <v>65</v>
      </c>
      <c r="V70" s="2" t="s">
        <v>66</v>
      </c>
      <c r="W70" s="2" t="s">
        <v>66</v>
      </c>
      <c r="X70" s="2" t="s">
        <v>65</v>
      </c>
      <c r="Y70" s="2" t="s">
        <v>451</v>
      </c>
      <c r="Z70" s="2" t="s">
        <v>452</v>
      </c>
      <c r="AA70" s="2" t="s">
        <v>73</v>
      </c>
      <c r="AB70" s="2" t="s">
        <v>70</v>
      </c>
      <c r="AC70" s="2" t="s">
        <v>71</v>
      </c>
      <c r="AD70" s="2" t="s">
        <v>72</v>
      </c>
      <c r="AE70" s="2"/>
      <c r="AF70" s="2"/>
      <c r="AG70" s="2"/>
      <c r="AH70" s="2" t="s">
        <v>453</v>
      </c>
      <c r="AI70" s="2" t="s">
        <v>454</v>
      </c>
      <c r="AJ70" s="2" t="s">
        <v>455</v>
      </c>
      <c r="AK70" s="2" t="s">
        <v>187</v>
      </c>
      <c r="AL70" s="2" t="s">
        <v>520</v>
      </c>
      <c r="AM70" s="2" t="s">
        <v>521</v>
      </c>
      <c r="AN70" s="2" t="s">
        <v>522</v>
      </c>
      <c r="AO70" s="2"/>
      <c r="AP70" s="2" t="s">
        <v>458</v>
      </c>
      <c r="AQ70" s="2" t="s">
        <v>459</v>
      </c>
      <c r="AR70" s="2" t="s">
        <v>460</v>
      </c>
      <c r="AS70" s="2" t="s">
        <v>461</v>
      </c>
      <c r="AT70" s="2"/>
      <c r="AU70" s="2" t="s">
        <v>462</v>
      </c>
      <c r="AV70" s="2" t="s">
        <v>463</v>
      </c>
      <c r="AW70" s="2" t="s">
        <v>69</v>
      </c>
      <c r="AX70" s="2" t="s">
        <v>516</v>
      </c>
      <c r="AY70" s="2"/>
      <c r="AZ70" s="2" t="s">
        <v>497</v>
      </c>
      <c r="BA70" s="2" t="s">
        <v>517</v>
      </c>
      <c r="BB70" s="2" t="s">
        <v>91</v>
      </c>
      <c r="BC70" s="2" t="s">
        <v>524</v>
      </c>
      <c r="BD70" s="2"/>
      <c r="BE70" s="2"/>
      <c r="BF70" s="2"/>
      <c r="BG70" s="2" t="s">
        <v>90</v>
      </c>
    </row>
    <row r="71" spans="1:59" ht="29.5" x14ac:dyDescent="0.4">
      <c r="A71" s="5" t="s">
        <v>739</v>
      </c>
      <c r="B71" s="2" t="s">
        <v>448</v>
      </c>
      <c r="C71" s="2" t="s">
        <v>59</v>
      </c>
      <c r="D71" s="2" t="s">
        <v>261</v>
      </c>
      <c r="E71" s="2" t="s">
        <v>262</v>
      </c>
      <c r="F71" s="2" t="s">
        <v>261</v>
      </c>
      <c r="G71" s="2"/>
      <c r="H71" s="2"/>
      <c r="I71" s="2"/>
      <c r="J71" s="2"/>
      <c r="K71" s="2"/>
      <c r="L71" s="2"/>
      <c r="M71" s="2"/>
      <c r="N71" s="2"/>
      <c r="O71" s="2" t="s">
        <v>449</v>
      </c>
      <c r="P71" s="2" t="s">
        <v>63</v>
      </c>
      <c r="Q71" s="2"/>
      <c r="R71" s="2"/>
      <c r="S71" s="2"/>
      <c r="T71" s="2" t="s">
        <v>450</v>
      </c>
      <c r="U71" s="2" t="s">
        <v>65</v>
      </c>
      <c r="V71" s="2" t="s">
        <v>66</v>
      </c>
      <c r="W71" s="2" t="s">
        <v>66</v>
      </c>
      <c r="X71" s="2" t="s">
        <v>65</v>
      </c>
      <c r="Y71" s="2" t="s">
        <v>451</v>
      </c>
      <c r="Z71" s="2" t="s">
        <v>452</v>
      </c>
      <c r="AA71" s="2" t="s">
        <v>73</v>
      </c>
      <c r="AB71" s="2" t="s">
        <v>70</v>
      </c>
      <c r="AC71" s="2" t="s">
        <v>71</v>
      </c>
      <c r="AD71" s="2" t="s">
        <v>72</v>
      </c>
      <c r="AE71" s="2"/>
      <c r="AF71" s="2"/>
      <c r="AG71" s="2"/>
      <c r="AH71" s="2" t="s">
        <v>453</v>
      </c>
      <c r="AI71" s="2" t="s">
        <v>454</v>
      </c>
      <c r="AJ71" s="2" t="s">
        <v>455</v>
      </c>
      <c r="AK71" s="2" t="s">
        <v>187</v>
      </c>
      <c r="AL71" s="2" t="s">
        <v>520</v>
      </c>
      <c r="AM71" s="2" t="s">
        <v>521</v>
      </c>
      <c r="AN71" s="2" t="s">
        <v>522</v>
      </c>
      <c r="AO71" s="2"/>
      <c r="AP71" s="2" t="s">
        <v>458</v>
      </c>
      <c r="AQ71" s="2" t="s">
        <v>459</v>
      </c>
      <c r="AR71" s="2" t="s">
        <v>460</v>
      </c>
      <c r="AS71" s="2" t="s">
        <v>461</v>
      </c>
      <c r="AT71" s="2"/>
      <c r="AU71" s="2" t="s">
        <v>462</v>
      </c>
      <c r="AV71" s="2" t="s">
        <v>463</v>
      </c>
      <c r="AW71" s="2" t="s">
        <v>162</v>
      </c>
      <c r="AX71" s="2" t="s">
        <v>516</v>
      </c>
      <c r="AY71" s="2"/>
      <c r="AZ71" s="2" t="s">
        <v>497</v>
      </c>
      <c r="BA71" s="2" t="s">
        <v>517</v>
      </c>
      <c r="BB71" s="2" t="s">
        <v>69</v>
      </c>
      <c r="BC71" s="2" t="s">
        <v>525</v>
      </c>
      <c r="BD71" s="2"/>
      <c r="BE71" s="2"/>
      <c r="BF71" s="2"/>
      <c r="BG71" s="2" t="s">
        <v>90</v>
      </c>
    </row>
    <row r="72" spans="1:59" ht="29.5" x14ac:dyDescent="0.4">
      <c r="A72" s="5" t="s">
        <v>739</v>
      </c>
      <c r="B72" s="2" t="s">
        <v>448</v>
      </c>
      <c r="C72" s="2" t="s">
        <v>59</v>
      </c>
      <c r="D72" s="2" t="s">
        <v>261</v>
      </c>
      <c r="E72" s="2" t="s">
        <v>262</v>
      </c>
      <c r="F72" s="2" t="s">
        <v>261</v>
      </c>
      <c r="G72" s="2"/>
      <c r="H72" s="2"/>
      <c r="I72" s="2"/>
      <c r="J72" s="2"/>
      <c r="K72" s="2"/>
      <c r="L72" s="2"/>
      <c r="M72" s="2"/>
      <c r="N72" s="2"/>
      <c r="O72" s="2" t="s">
        <v>449</v>
      </c>
      <c r="P72" s="2" t="s">
        <v>63</v>
      </c>
      <c r="Q72" s="2"/>
      <c r="R72" s="2"/>
      <c r="S72" s="2"/>
      <c r="T72" s="2" t="s">
        <v>450</v>
      </c>
      <c r="U72" s="2" t="s">
        <v>65</v>
      </c>
      <c r="V72" s="2" t="s">
        <v>66</v>
      </c>
      <c r="W72" s="2" t="s">
        <v>66</v>
      </c>
      <c r="X72" s="2" t="s">
        <v>65</v>
      </c>
      <c r="Y72" s="2" t="s">
        <v>451</v>
      </c>
      <c r="Z72" s="2" t="s">
        <v>452</v>
      </c>
      <c r="AA72" s="2" t="s">
        <v>73</v>
      </c>
      <c r="AB72" s="2" t="s">
        <v>70</v>
      </c>
      <c r="AC72" s="2" t="s">
        <v>71</v>
      </c>
      <c r="AD72" s="2" t="s">
        <v>72</v>
      </c>
      <c r="AE72" s="2"/>
      <c r="AF72" s="2"/>
      <c r="AG72" s="2"/>
      <c r="AH72" s="2" t="s">
        <v>453</v>
      </c>
      <c r="AI72" s="2" t="s">
        <v>454</v>
      </c>
      <c r="AJ72" s="2" t="s">
        <v>455</v>
      </c>
      <c r="AK72" s="2" t="s">
        <v>187</v>
      </c>
      <c r="AL72" s="2" t="s">
        <v>520</v>
      </c>
      <c r="AM72" s="2" t="s">
        <v>521</v>
      </c>
      <c r="AN72" s="2" t="s">
        <v>522</v>
      </c>
      <c r="AO72" s="2"/>
      <c r="AP72" s="2" t="s">
        <v>458</v>
      </c>
      <c r="AQ72" s="2" t="s">
        <v>459</v>
      </c>
      <c r="AR72" s="2" t="s">
        <v>460</v>
      </c>
      <c r="AS72" s="2" t="s">
        <v>461</v>
      </c>
      <c r="AT72" s="2"/>
      <c r="AU72" s="2" t="s">
        <v>462</v>
      </c>
      <c r="AV72" s="2" t="s">
        <v>463</v>
      </c>
      <c r="AW72" s="2" t="s">
        <v>178</v>
      </c>
      <c r="AX72" s="2" t="s">
        <v>516</v>
      </c>
      <c r="AY72" s="2"/>
      <c r="AZ72" s="2" t="s">
        <v>497</v>
      </c>
      <c r="BA72" s="2" t="s">
        <v>517</v>
      </c>
      <c r="BB72" s="2" t="s">
        <v>162</v>
      </c>
      <c r="BC72" s="2" t="s">
        <v>526</v>
      </c>
      <c r="BD72" s="2"/>
      <c r="BE72" s="2"/>
      <c r="BF72" s="2"/>
      <c r="BG72" s="2" t="s">
        <v>90</v>
      </c>
    </row>
    <row r="73" spans="1:59" ht="102" x14ac:dyDescent="0.4">
      <c r="A73" s="5" t="s">
        <v>739</v>
      </c>
      <c r="B73" s="2" t="s">
        <v>448</v>
      </c>
      <c r="C73" s="2" t="s">
        <v>59</v>
      </c>
      <c r="D73" s="2" t="s">
        <v>261</v>
      </c>
      <c r="E73" s="2" t="s">
        <v>262</v>
      </c>
      <c r="F73" s="2" t="s">
        <v>261</v>
      </c>
      <c r="G73" s="2"/>
      <c r="H73" s="2"/>
      <c r="I73" s="2"/>
      <c r="J73" s="2"/>
      <c r="K73" s="2"/>
      <c r="L73" s="2"/>
      <c r="M73" s="2"/>
      <c r="N73" s="2"/>
      <c r="O73" s="2" t="s">
        <v>449</v>
      </c>
      <c r="P73" s="2" t="s">
        <v>63</v>
      </c>
      <c r="Q73" s="2"/>
      <c r="R73" s="2"/>
      <c r="S73" s="2"/>
      <c r="T73" s="2" t="s">
        <v>450</v>
      </c>
      <c r="U73" s="2" t="s">
        <v>65</v>
      </c>
      <c r="V73" s="2" t="s">
        <v>66</v>
      </c>
      <c r="W73" s="2" t="s">
        <v>66</v>
      </c>
      <c r="X73" s="2" t="s">
        <v>65</v>
      </c>
      <c r="Y73" s="2" t="s">
        <v>451</v>
      </c>
      <c r="Z73" s="2" t="s">
        <v>452</v>
      </c>
      <c r="AA73" s="2" t="s">
        <v>73</v>
      </c>
      <c r="AB73" s="2" t="s">
        <v>70</v>
      </c>
      <c r="AC73" s="2" t="s">
        <v>71</v>
      </c>
      <c r="AD73" s="2" t="s">
        <v>72</v>
      </c>
      <c r="AE73" s="2"/>
      <c r="AF73" s="2"/>
      <c r="AG73" s="2"/>
      <c r="AH73" s="2" t="s">
        <v>453</v>
      </c>
      <c r="AI73" s="2" t="s">
        <v>454</v>
      </c>
      <c r="AJ73" s="2" t="s">
        <v>455</v>
      </c>
      <c r="AK73" s="2" t="s">
        <v>187</v>
      </c>
      <c r="AL73" s="2" t="s">
        <v>520</v>
      </c>
      <c r="AM73" s="2" t="s">
        <v>521</v>
      </c>
      <c r="AN73" s="2" t="s">
        <v>522</v>
      </c>
      <c r="AO73" s="2"/>
      <c r="AP73" s="2" t="s">
        <v>458</v>
      </c>
      <c r="AQ73" s="2" t="s">
        <v>459</v>
      </c>
      <c r="AR73" s="2" t="s">
        <v>460</v>
      </c>
      <c r="AS73" s="2" t="s">
        <v>461</v>
      </c>
      <c r="AT73" s="2"/>
      <c r="AU73" s="2" t="s">
        <v>462</v>
      </c>
      <c r="AV73" s="2" t="s">
        <v>463</v>
      </c>
      <c r="AW73" s="2" t="s">
        <v>97</v>
      </c>
      <c r="AX73" s="2" t="s">
        <v>480</v>
      </c>
      <c r="AY73" s="2"/>
      <c r="AZ73" s="2" t="s">
        <v>481</v>
      </c>
      <c r="BA73" s="2" t="s">
        <v>482</v>
      </c>
      <c r="BB73" s="2" t="s">
        <v>73</v>
      </c>
      <c r="BC73" s="2" t="s">
        <v>483</v>
      </c>
      <c r="BD73" s="2"/>
      <c r="BE73" s="2"/>
      <c r="BF73" s="2"/>
      <c r="BG73" s="2" t="s">
        <v>90</v>
      </c>
    </row>
    <row r="74" spans="1:59" ht="102" x14ac:dyDescent="0.4">
      <c r="A74" s="5" t="s">
        <v>739</v>
      </c>
      <c r="B74" s="2" t="s">
        <v>448</v>
      </c>
      <c r="C74" s="2" t="s">
        <v>59</v>
      </c>
      <c r="D74" s="2" t="s">
        <v>261</v>
      </c>
      <c r="E74" s="2" t="s">
        <v>262</v>
      </c>
      <c r="F74" s="2" t="s">
        <v>261</v>
      </c>
      <c r="G74" s="2"/>
      <c r="H74" s="2"/>
      <c r="I74" s="2"/>
      <c r="J74" s="2"/>
      <c r="K74" s="2"/>
      <c r="L74" s="2"/>
      <c r="M74" s="2"/>
      <c r="N74" s="2"/>
      <c r="O74" s="2" t="s">
        <v>449</v>
      </c>
      <c r="P74" s="2" t="s">
        <v>63</v>
      </c>
      <c r="Q74" s="2"/>
      <c r="R74" s="2"/>
      <c r="S74" s="2"/>
      <c r="T74" s="2" t="s">
        <v>450</v>
      </c>
      <c r="U74" s="2" t="s">
        <v>65</v>
      </c>
      <c r="V74" s="2" t="s">
        <v>66</v>
      </c>
      <c r="W74" s="2" t="s">
        <v>66</v>
      </c>
      <c r="X74" s="2" t="s">
        <v>65</v>
      </c>
      <c r="Y74" s="2" t="s">
        <v>451</v>
      </c>
      <c r="Z74" s="2" t="s">
        <v>452</v>
      </c>
      <c r="AA74" s="2" t="s">
        <v>73</v>
      </c>
      <c r="AB74" s="2" t="s">
        <v>70</v>
      </c>
      <c r="AC74" s="2" t="s">
        <v>71</v>
      </c>
      <c r="AD74" s="2" t="s">
        <v>72</v>
      </c>
      <c r="AE74" s="2"/>
      <c r="AF74" s="2"/>
      <c r="AG74" s="2"/>
      <c r="AH74" s="2" t="s">
        <v>453</v>
      </c>
      <c r="AI74" s="2" t="s">
        <v>454</v>
      </c>
      <c r="AJ74" s="2" t="s">
        <v>455</v>
      </c>
      <c r="AK74" s="2" t="s">
        <v>187</v>
      </c>
      <c r="AL74" s="2" t="s">
        <v>520</v>
      </c>
      <c r="AM74" s="2" t="s">
        <v>521</v>
      </c>
      <c r="AN74" s="2" t="s">
        <v>522</v>
      </c>
      <c r="AO74" s="2"/>
      <c r="AP74" s="2" t="s">
        <v>458</v>
      </c>
      <c r="AQ74" s="2" t="s">
        <v>459</v>
      </c>
      <c r="AR74" s="2" t="s">
        <v>460</v>
      </c>
      <c r="AS74" s="2" t="s">
        <v>461</v>
      </c>
      <c r="AT74" s="2"/>
      <c r="AU74" s="2" t="s">
        <v>462</v>
      </c>
      <c r="AV74" s="2" t="s">
        <v>463</v>
      </c>
      <c r="AW74" s="2" t="s">
        <v>113</v>
      </c>
      <c r="AX74" s="2" t="s">
        <v>480</v>
      </c>
      <c r="AY74" s="2"/>
      <c r="AZ74" s="2" t="s">
        <v>481</v>
      </c>
      <c r="BA74" s="2" t="s">
        <v>482</v>
      </c>
      <c r="BB74" s="2" t="s">
        <v>97</v>
      </c>
      <c r="BC74" s="2" t="s">
        <v>527</v>
      </c>
      <c r="BD74" s="2"/>
      <c r="BE74" s="2"/>
      <c r="BF74" s="2"/>
      <c r="BG74" s="2" t="s">
        <v>90</v>
      </c>
    </row>
    <row r="75" spans="1:59" ht="29.5" x14ac:dyDescent="0.4">
      <c r="A75" s="5" t="s">
        <v>739</v>
      </c>
      <c r="B75" s="2" t="s">
        <v>448</v>
      </c>
      <c r="C75" s="2" t="s">
        <v>59</v>
      </c>
      <c r="D75" s="2" t="s">
        <v>261</v>
      </c>
      <c r="E75" s="2" t="s">
        <v>262</v>
      </c>
      <c r="F75" s="2" t="s">
        <v>261</v>
      </c>
      <c r="G75" s="2"/>
      <c r="H75" s="2"/>
      <c r="I75" s="2"/>
      <c r="J75" s="2"/>
      <c r="K75" s="2"/>
      <c r="L75" s="2"/>
      <c r="M75" s="2"/>
      <c r="N75" s="2"/>
      <c r="O75" s="2" t="s">
        <v>449</v>
      </c>
      <c r="P75" s="2" t="s">
        <v>63</v>
      </c>
      <c r="Q75" s="2"/>
      <c r="R75" s="2"/>
      <c r="S75" s="2"/>
      <c r="T75" s="2" t="s">
        <v>450</v>
      </c>
      <c r="U75" s="2" t="s">
        <v>65</v>
      </c>
      <c r="V75" s="2" t="s">
        <v>66</v>
      </c>
      <c r="W75" s="2" t="s">
        <v>66</v>
      </c>
      <c r="X75" s="2" t="s">
        <v>65</v>
      </c>
      <c r="Y75" s="2" t="s">
        <v>451</v>
      </c>
      <c r="Z75" s="2" t="s">
        <v>452</v>
      </c>
      <c r="AA75" s="2" t="s">
        <v>73</v>
      </c>
      <c r="AB75" s="2" t="s">
        <v>70</v>
      </c>
      <c r="AC75" s="2" t="s">
        <v>71</v>
      </c>
      <c r="AD75" s="2" t="s">
        <v>72</v>
      </c>
      <c r="AE75" s="2"/>
      <c r="AF75" s="2"/>
      <c r="AG75" s="2"/>
      <c r="AH75" s="2" t="s">
        <v>453</v>
      </c>
      <c r="AI75" s="2" t="s">
        <v>454</v>
      </c>
      <c r="AJ75" s="2" t="s">
        <v>455</v>
      </c>
      <c r="AK75" s="2" t="s">
        <v>187</v>
      </c>
      <c r="AL75" s="2" t="s">
        <v>520</v>
      </c>
      <c r="AM75" s="2" t="s">
        <v>521</v>
      </c>
      <c r="AN75" s="2" t="s">
        <v>522</v>
      </c>
      <c r="AO75" s="2"/>
      <c r="AP75" s="2" t="s">
        <v>458</v>
      </c>
      <c r="AQ75" s="2" t="s">
        <v>459</v>
      </c>
      <c r="AR75" s="2" t="s">
        <v>460</v>
      </c>
      <c r="AS75" s="2" t="s">
        <v>461</v>
      </c>
      <c r="AT75" s="2"/>
      <c r="AU75" s="2" t="s">
        <v>462</v>
      </c>
      <c r="AV75" s="2" t="s">
        <v>463</v>
      </c>
      <c r="AW75" s="2" t="s">
        <v>285</v>
      </c>
      <c r="AX75" s="2" t="s">
        <v>528</v>
      </c>
      <c r="AY75" s="2"/>
      <c r="AZ75" s="2" t="s">
        <v>508</v>
      </c>
      <c r="BA75" s="2" t="s">
        <v>529</v>
      </c>
      <c r="BB75" s="2" t="s">
        <v>113</v>
      </c>
      <c r="BC75" s="2" t="s">
        <v>530</v>
      </c>
      <c r="BD75" s="2"/>
      <c r="BE75" s="2"/>
      <c r="BF75" s="2"/>
      <c r="BG75" s="2" t="s">
        <v>90</v>
      </c>
    </row>
    <row r="76" spans="1:59" ht="116.5" x14ac:dyDescent="0.4">
      <c r="A76" s="5" t="s">
        <v>739</v>
      </c>
      <c r="B76" s="2" t="s">
        <v>448</v>
      </c>
      <c r="C76" s="2" t="s">
        <v>59</v>
      </c>
      <c r="D76" s="2" t="s">
        <v>261</v>
      </c>
      <c r="E76" s="2" t="s">
        <v>262</v>
      </c>
      <c r="F76" s="2" t="s">
        <v>261</v>
      </c>
      <c r="G76" s="2"/>
      <c r="H76" s="2"/>
      <c r="I76" s="2"/>
      <c r="J76" s="2"/>
      <c r="K76" s="2"/>
      <c r="L76" s="2"/>
      <c r="M76" s="2"/>
      <c r="N76" s="2"/>
      <c r="O76" s="2" t="s">
        <v>449</v>
      </c>
      <c r="P76" s="2" t="s">
        <v>63</v>
      </c>
      <c r="Q76" s="2"/>
      <c r="R76" s="2"/>
      <c r="S76" s="2"/>
      <c r="T76" s="2" t="s">
        <v>450</v>
      </c>
      <c r="U76" s="2" t="s">
        <v>65</v>
      </c>
      <c r="V76" s="2" t="s">
        <v>66</v>
      </c>
      <c r="W76" s="2" t="s">
        <v>66</v>
      </c>
      <c r="X76" s="2" t="s">
        <v>65</v>
      </c>
      <c r="Y76" s="2" t="s">
        <v>451</v>
      </c>
      <c r="Z76" s="2" t="s">
        <v>452</v>
      </c>
      <c r="AA76" s="2" t="s">
        <v>73</v>
      </c>
      <c r="AB76" s="2" t="s">
        <v>70</v>
      </c>
      <c r="AC76" s="2" t="s">
        <v>71</v>
      </c>
      <c r="AD76" s="2" t="s">
        <v>72</v>
      </c>
      <c r="AE76" s="2"/>
      <c r="AF76" s="2"/>
      <c r="AG76" s="2"/>
      <c r="AH76" s="2" t="s">
        <v>453</v>
      </c>
      <c r="AI76" s="2" t="s">
        <v>454</v>
      </c>
      <c r="AJ76" s="2" t="s">
        <v>455</v>
      </c>
      <c r="AK76" s="2" t="s">
        <v>187</v>
      </c>
      <c r="AL76" s="2" t="s">
        <v>520</v>
      </c>
      <c r="AM76" s="2" t="s">
        <v>521</v>
      </c>
      <c r="AN76" s="2" t="s">
        <v>522</v>
      </c>
      <c r="AO76" s="2"/>
      <c r="AP76" s="2" t="s">
        <v>458</v>
      </c>
      <c r="AQ76" s="2" t="s">
        <v>459</v>
      </c>
      <c r="AR76" s="2" t="s">
        <v>460</v>
      </c>
      <c r="AS76" s="2" t="s">
        <v>461</v>
      </c>
      <c r="AT76" s="2"/>
      <c r="AU76" s="2" t="s">
        <v>462</v>
      </c>
      <c r="AV76" s="2" t="s">
        <v>463</v>
      </c>
      <c r="AW76" s="2" t="s">
        <v>333</v>
      </c>
      <c r="AX76" s="2" t="s">
        <v>484</v>
      </c>
      <c r="AY76" s="2"/>
      <c r="AZ76" s="2" t="s">
        <v>485</v>
      </c>
      <c r="BA76" s="2" t="s">
        <v>486</v>
      </c>
      <c r="BB76" s="2" t="s">
        <v>91</v>
      </c>
      <c r="BC76" s="2" t="s">
        <v>519</v>
      </c>
      <c r="BD76" s="2"/>
      <c r="BE76" s="2"/>
      <c r="BF76" s="2"/>
      <c r="BG76" s="2" t="s">
        <v>90</v>
      </c>
    </row>
    <row r="77" spans="1:59" ht="116.5" x14ac:dyDescent="0.4">
      <c r="A77" s="5" t="s">
        <v>739</v>
      </c>
      <c r="B77" s="2" t="s">
        <v>448</v>
      </c>
      <c r="C77" s="2" t="s">
        <v>59</v>
      </c>
      <c r="D77" s="2" t="s">
        <v>261</v>
      </c>
      <c r="E77" s="2" t="s">
        <v>262</v>
      </c>
      <c r="F77" s="2" t="s">
        <v>261</v>
      </c>
      <c r="G77" s="2"/>
      <c r="H77" s="2"/>
      <c r="I77" s="2"/>
      <c r="J77" s="2"/>
      <c r="K77" s="2"/>
      <c r="L77" s="2"/>
      <c r="M77" s="2"/>
      <c r="N77" s="2"/>
      <c r="O77" s="2" t="s">
        <v>449</v>
      </c>
      <c r="P77" s="2" t="s">
        <v>63</v>
      </c>
      <c r="Q77" s="2"/>
      <c r="R77" s="2"/>
      <c r="S77" s="2"/>
      <c r="T77" s="2" t="s">
        <v>450</v>
      </c>
      <c r="U77" s="2" t="s">
        <v>65</v>
      </c>
      <c r="V77" s="2" t="s">
        <v>66</v>
      </c>
      <c r="W77" s="2" t="s">
        <v>66</v>
      </c>
      <c r="X77" s="2" t="s">
        <v>65</v>
      </c>
      <c r="Y77" s="2" t="s">
        <v>451</v>
      </c>
      <c r="Z77" s="2" t="s">
        <v>452</v>
      </c>
      <c r="AA77" s="2" t="s">
        <v>73</v>
      </c>
      <c r="AB77" s="2" t="s">
        <v>70</v>
      </c>
      <c r="AC77" s="2" t="s">
        <v>71</v>
      </c>
      <c r="AD77" s="2" t="s">
        <v>72</v>
      </c>
      <c r="AE77" s="2"/>
      <c r="AF77" s="2"/>
      <c r="AG77" s="2"/>
      <c r="AH77" s="2" t="s">
        <v>453</v>
      </c>
      <c r="AI77" s="2" t="s">
        <v>454</v>
      </c>
      <c r="AJ77" s="2" t="s">
        <v>455</v>
      </c>
      <c r="AK77" s="2" t="s">
        <v>187</v>
      </c>
      <c r="AL77" s="2" t="s">
        <v>520</v>
      </c>
      <c r="AM77" s="2" t="s">
        <v>521</v>
      </c>
      <c r="AN77" s="2" t="s">
        <v>522</v>
      </c>
      <c r="AO77" s="2"/>
      <c r="AP77" s="2" t="s">
        <v>458</v>
      </c>
      <c r="AQ77" s="2" t="s">
        <v>459</v>
      </c>
      <c r="AR77" s="2" t="s">
        <v>460</v>
      </c>
      <c r="AS77" s="2" t="s">
        <v>461</v>
      </c>
      <c r="AT77" s="2"/>
      <c r="AU77" s="2" t="s">
        <v>462</v>
      </c>
      <c r="AV77" s="2" t="s">
        <v>463</v>
      </c>
      <c r="AW77" s="2" t="s">
        <v>493</v>
      </c>
      <c r="AX77" s="2" t="s">
        <v>484</v>
      </c>
      <c r="AY77" s="2"/>
      <c r="AZ77" s="2" t="s">
        <v>485</v>
      </c>
      <c r="BA77" s="2" t="s">
        <v>486</v>
      </c>
      <c r="BB77" s="2" t="s">
        <v>91</v>
      </c>
      <c r="BC77" s="2" t="s">
        <v>519</v>
      </c>
      <c r="BD77" s="2"/>
      <c r="BE77" s="2"/>
      <c r="BF77" s="2"/>
      <c r="BG77" s="2" t="s">
        <v>90</v>
      </c>
    </row>
    <row r="78" spans="1:59" ht="116.5" x14ac:dyDescent="0.4">
      <c r="A78" s="5" t="s">
        <v>739</v>
      </c>
      <c r="B78" s="2" t="s">
        <v>448</v>
      </c>
      <c r="C78" s="2" t="s">
        <v>59</v>
      </c>
      <c r="D78" s="2" t="s">
        <v>261</v>
      </c>
      <c r="E78" s="2" t="s">
        <v>262</v>
      </c>
      <c r="F78" s="2" t="s">
        <v>261</v>
      </c>
      <c r="G78" s="2"/>
      <c r="H78" s="2"/>
      <c r="I78" s="2"/>
      <c r="J78" s="2"/>
      <c r="K78" s="2"/>
      <c r="L78" s="2"/>
      <c r="M78" s="2"/>
      <c r="N78" s="2"/>
      <c r="O78" s="2" t="s">
        <v>449</v>
      </c>
      <c r="P78" s="2" t="s">
        <v>63</v>
      </c>
      <c r="Q78" s="2"/>
      <c r="R78" s="2"/>
      <c r="S78" s="2"/>
      <c r="T78" s="2" t="s">
        <v>450</v>
      </c>
      <c r="U78" s="2" t="s">
        <v>65</v>
      </c>
      <c r="V78" s="2" t="s">
        <v>66</v>
      </c>
      <c r="W78" s="2" t="s">
        <v>66</v>
      </c>
      <c r="X78" s="2" t="s">
        <v>65</v>
      </c>
      <c r="Y78" s="2" t="s">
        <v>451</v>
      </c>
      <c r="Z78" s="2" t="s">
        <v>452</v>
      </c>
      <c r="AA78" s="2" t="s">
        <v>73</v>
      </c>
      <c r="AB78" s="2" t="s">
        <v>70</v>
      </c>
      <c r="AC78" s="2" t="s">
        <v>71</v>
      </c>
      <c r="AD78" s="2" t="s">
        <v>72</v>
      </c>
      <c r="AE78" s="2"/>
      <c r="AF78" s="2"/>
      <c r="AG78" s="2"/>
      <c r="AH78" s="2" t="s">
        <v>453</v>
      </c>
      <c r="AI78" s="2" t="s">
        <v>454</v>
      </c>
      <c r="AJ78" s="2" t="s">
        <v>455</v>
      </c>
      <c r="AK78" s="2" t="s">
        <v>187</v>
      </c>
      <c r="AL78" s="2" t="s">
        <v>520</v>
      </c>
      <c r="AM78" s="2" t="s">
        <v>521</v>
      </c>
      <c r="AN78" s="2" t="s">
        <v>522</v>
      </c>
      <c r="AO78" s="2"/>
      <c r="AP78" s="2" t="s">
        <v>458</v>
      </c>
      <c r="AQ78" s="2" t="s">
        <v>459</v>
      </c>
      <c r="AR78" s="2" t="s">
        <v>460</v>
      </c>
      <c r="AS78" s="2" t="s">
        <v>461</v>
      </c>
      <c r="AT78" s="2"/>
      <c r="AU78" s="2" t="s">
        <v>462</v>
      </c>
      <c r="AV78" s="2" t="s">
        <v>463</v>
      </c>
      <c r="AW78" s="2" t="s">
        <v>495</v>
      </c>
      <c r="AX78" s="2" t="s">
        <v>484</v>
      </c>
      <c r="AY78" s="2"/>
      <c r="AZ78" s="2" t="s">
        <v>485</v>
      </c>
      <c r="BA78" s="2" t="s">
        <v>486</v>
      </c>
      <c r="BB78" s="2" t="s">
        <v>113</v>
      </c>
      <c r="BC78" s="2" t="s">
        <v>531</v>
      </c>
      <c r="BD78" s="2"/>
      <c r="BE78" s="2"/>
      <c r="BF78" s="2"/>
      <c r="BG78" s="2" t="s">
        <v>90</v>
      </c>
    </row>
    <row r="79" spans="1:59" ht="116.5" x14ac:dyDescent="0.4">
      <c r="A79" s="5" t="s">
        <v>739</v>
      </c>
      <c r="B79" s="2" t="s">
        <v>448</v>
      </c>
      <c r="C79" s="2" t="s">
        <v>59</v>
      </c>
      <c r="D79" s="2" t="s">
        <v>261</v>
      </c>
      <c r="E79" s="2" t="s">
        <v>262</v>
      </c>
      <c r="F79" s="2" t="s">
        <v>261</v>
      </c>
      <c r="G79" s="2"/>
      <c r="H79" s="2"/>
      <c r="I79" s="2"/>
      <c r="J79" s="2"/>
      <c r="K79" s="2"/>
      <c r="L79" s="2"/>
      <c r="M79" s="2"/>
      <c r="N79" s="2"/>
      <c r="O79" s="2" t="s">
        <v>449</v>
      </c>
      <c r="P79" s="2" t="s">
        <v>63</v>
      </c>
      <c r="Q79" s="2"/>
      <c r="R79" s="2"/>
      <c r="S79" s="2"/>
      <c r="T79" s="2" t="s">
        <v>450</v>
      </c>
      <c r="U79" s="2" t="s">
        <v>65</v>
      </c>
      <c r="V79" s="2" t="s">
        <v>66</v>
      </c>
      <c r="W79" s="2" t="s">
        <v>66</v>
      </c>
      <c r="X79" s="2" t="s">
        <v>65</v>
      </c>
      <c r="Y79" s="2" t="s">
        <v>451</v>
      </c>
      <c r="Z79" s="2" t="s">
        <v>452</v>
      </c>
      <c r="AA79" s="2" t="s">
        <v>73</v>
      </c>
      <c r="AB79" s="2" t="s">
        <v>70</v>
      </c>
      <c r="AC79" s="2" t="s">
        <v>71</v>
      </c>
      <c r="AD79" s="2" t="s">
        <v>72</v>
      </c>
      <c r="AE79" s="2"/>
      <c r="AF79" s="2"/>
      <c r="AG79" s="2"/>
      <c r="AH79" s="2" t="s">
        <v>453</v>
      </c>
      <c r="AI79" s="2" t="s">
        <v>454</v>
      </c>
      <c r="AJ79" s="2" t="s">
        <v>455</v>
      </c>
      <c r="AK79" s="2" t="s">
        <v>187</v>
      </c>
      <c r="AL79" s="2" t="s">
        <v>520</v>
      </c>
      <c r="AM79" s="2" t="s">
        <v>521</v>
      </c>
      <c r="AN79" s="2" t="s">
        <v>522</v>
      </c>
      <c r="AO79" s="2"/>
      <c r="AP79" s="2" t="s">
        <v>458</v>
      </c>
      <c r="AQ79" s="2" t="s">
        <v>459</v>
      </c>
      <c r="AR79" s="2" t="s">
        <v>460</v>
      </c>
      <c r="AS79" s="2" t="s">
        <v>461</v>
      </c>
      <c r="AT79" s="2"/>
      <c r="AU79" s="2" t="s">
        <v>462</v>
      </c>
      <c r="AV79" s="2" t="s">
        <v>463</v>
      </c>
      <c r="AW79" s="2" t="s">
        <v>500</v>
      </c>
      <c r="AX79" s="2" t="s">
        <v>484</v>
      </c>
      <c r="AY79" s="2"/>
      <c r="AZ79" s="2" t="s">
        <v>485</v>
      </c>
      <c r="BA79" s="2" t="s">
        <v>486</v>
      </c>
      <c r="BB79" s="2" t="s">
        <v>73</v>
      </c>
      <c r="BC79" s="2" t="s">
        <v>487</v>
      </c>
      <c r="BD79" s="2"/>
      <c r="BE79" s="2"/>
      <c r="BF79" s="2"/>
      <c r="BG79" s="2" t="s">
        <v>90</v>
      </c>
    </row>
    <row r="80" spans="1:59" ht="116.5" x14ac:dyDescent="0.4">
      <c r="A80" s="5" t="s">
        <v>739</v>
      </c>
      <c r="B80" s="2" t="s">
        <v>448</v>
      </c>
      <c r="C80" s="2" t="s">
        <v>59</v>
      </c>
      <c r="D80" s="2" t="s">
        <v>261</v>
      </c>
      <c r="E80" s="2" t="s">
        <v>262</v>
      </c>
      <c r="F80" s="2" t="s">
        <v>261</v>
      </c>
      <c r="G80" s="2"/>
      <c r="H80" s="2"/>
      <c r="I80" s="2"/>
      <c r="J80" s="2"/>
      <c r="K80" s="2"/>
      <c r="L80" s="2"/>
      <c r="M80" s="2"/>
      <c r="N80" s="2"/>
      <c r="O80" s="2" t="s">
        <v>449</v>
      </c>
      <c r="P80" s="2" t="s">
        <v>63</v>
      </c>
      <c r="Q80" s="2"/>
      <c r="R80" s="2"/>
      <c r="S80" s="2"/>
      <c r="T80" s="2" t="s">
        <v>450</v>
      </c>
      <c r="U80" s="2" t="s">
        <v>65</v>
      </c>
      <c r="V80" s="2" t="s">
        <v>66</v>
      </c>
      <c r="W80" s="2" t="s">
        <v>66</v>
      </c>
      <c r="X80" s="2" t="s">
        <v>65</v>
      </c>
      <c r="Y80" s="2" t="s">
        <v>451</v>
      </c>
      <c r="Z80" s="2" t="s">
        <v>452</v>
      </c>
      <c r="AA80" s="2" t="s">
        <v>73</v>
      </c>
      <c r="AB80" s="2" t="s">
        <v>70</v>
      </c>
      <c r="AC80" s="2" t="s">
        <v>71</v>
      </c>
      <c r="AD80" s="2" t="s">
        <v>72</v>
      </c>
      <c r="AE80" s="2"/>
      <c r="AF80" s="2"/>
      <c r="AG80" s="2"/>
      <c r="AH80" s="2" t="s">
        <v>453</v>
      </c>
      <c r="AI80" s="2" t="s">
        <v>454</v>
      </c>
      <c r="AJ80" s="2" t="s">
        <v>455</v>
      </c>
      <c r="AK80" s="2" t="s">
        <v>187</v>
      </c>
      <c r="AL80" s="2" t="s">
        <v>520</v>
      </c>
      <c r="AM80" s="2" t="s">
        <v>521</v>
      </c>
      <c r="AN80" s="2" t="s">
        <v>522</v>
      </c>
      <c r="AO80" s="2"/>
      <c r="AP80" s="2" t="s">
        <v>458</v>
      </c>
      <c r="AQ80" s="2" t="s">
        <v>459</v>
      </c>
      <c r="AR80" s="2" t="s">
        <v>460</v>
      </c>
      <c r="AS80" s="2" t="s">
        <v>461</v>
      </c>
      <c r="AT80" s="2"/>
      <c r="AU80" s="2" t="s">
        <v>462</v>
      </c>
      <c r="AV80" s="2" t="s">
        <v>463</v>
      </c>
      <c r="AW80" s="2" t="s">
        <v>505</v>
      </c>
      <c r="AX80" s="2" t="s">
        <v>484</v>
      </c>
      <c r="AY80" s="2"/>
      <c r="AZ80" s="2" t="s">
        <v>485</v>
      </c>
      <c r="BA80" s="2" t="s">
        <v>486</v>
      </c>
      <c r="BB80" s="2" t="s">
        <v>91</v>
      </c>
      <c r="BC80" s="2" t="s">
        <v>519</v>
      </c>
      <c r="BD80" s="2"/>
      <c r="BE80" s="2"/>
      <c r="BF80" s="2"/>
      <c r="BG80" s="2" t="s">
        <v>90</v>
      </c>
    </row>
    <row r="81" spans="1:59" ht="116.5" x14ac:dyDescent="0.4">
      <c r="A81" s="5" t="s">
        <v>739</v>
      </c>
      <c r="B81" s="2" t="s">
        <v>448</v>
      </c>
      <c r="C81" s="2" t="s">
        <v>59</v>
      </c>
      <c r="D81" s="2" t="s">
        <v>261</v>
      </c>
      <c r="E81" s="2" t="s">
        <v>262</v>
      </c>
      <c r="F81" s="2" t="s">
        <v>261</v>
      </c>
      <c r="G81" s="2"/>
      <c r="H81" s="2"/>
      <c r="I81" s="2"/>
      <c r="J81" s="2"/>
      <c r="K81" s="2"/>
      <c r="L81" s="2"/>
      <c r="M81" s="2"/>
      <c r="N81" s="2"/>
      <c r="O81" s="2" t="s">
        <v>449</v>
      </c>
      <c r="P81" s="2" t="s">
        <v>63</v>
      </c>
      <c r="Q81" s="2"/>
      <c r="R81" s="2"/>
      <c r="S81" s="2"/>
      <c r="T81" s="2" t="s">
        <v>450</v>
      </c>
      <c r="U81" s="2" t="s">
        <v>65</v>
      </c>
      <c r="V81" s="2" t="s">
        <v>66</v>
      </c>
      <c r="W81" s="2" t="s">
        <v>66</v>
      </c>
      <c r="X81" s="2" t="s">
        <v>65</v>
      </c>
      <c r="Y81" s="2" t="s">
        <v>451</v>
      </c>
      <c r="Z81" s="2" t="s">
        <v>452</v>
      </c>
      <c r="AA81" s="2" t="s">
        <v>73</v>
      </c>
      <c r="AB81" s="2" t="s">
        <v>70</v>
      </c>
      <c r="AC81" s="2" t="s">
        <v>71</v>
      </c>
      <c r="AD81" s="2" t="s">
        <v>72</v>
      </c>
      <c r="AE81" s="2"/>
      <c r="AF81" s="2"/>
      <c r="AG81" s="2"/>
      <c r="AH81" s="2" t="s">
        <v>453</v>
      </c>
      <c r="AI81" s="2" t="s">
        <v>454</v>
      </c>
      <c r="AJ81" s="2" t="s">
        <v>455</v>
      </c>
      <c r="AK81" s="2" t="s">
        <v>187</v>
      </c>
      <c r="AL81" s="2" t="s">
        <v>520</v>
      </c>
      <c r="AM81" s="2" t="s">
        <v>521</v>
      </c>
      <c r="AN81" s="2" t="s">
        <v>522</v>
      </c>
      <c r="AO81" s="2"/>
      <c r="AP81" s="2" t="s">
        <v>458</v>
      </c>
      <c r="AQ81" s="2" t="s">
        <v>459</v>
      </c>
      <c r="AR81" s="2" t="s">
        <v>460</v>
      </c>
      <c r="AS81" s="2" t="s">
        <v>461</v>
      </c>
      <c r="AT81" s="2"/>
      <c r="AU81" s="2" t="s">
        <v>462</v>
      </c>
      <c r="AV81" s="2" t="s">
        <v>463</v>
      </c>
      <c r="AW81" s="2" t="s">
        <v>381</v>
      </c>
      <c r="AX81" s="2" t="s">
        <v>484</v>
      </c>
      <c r="AY81" s="2"/>
      <c r="AZ81" s="2" t="s">
        <v>485</v>
      </c>
      <c r="BA81" s="2" t="s">
        <v>486</v>
      </c>
      <c r="BB81" s="2" t="s">
        <v>88</v>
      </c>
      <c r="BC81" s="2" t="s">
        <v>532</v>
      </c>
      <c r="BD81" s="2"/>
      <c r="BE81" s="2"/>
      <c r="BF81" s="2"/>
      <c r="BG81" s="2" t="s">
        <v>90</v>
      </c>
    </row>
    <row r="82" spans="1:59" ht="116.5" x14ac:dyDescent="0.4">
      <c r="A82" s="5" t="s">
        <v>739</v>
      </c>
      <c r="B82" s="2" t="s">
        <v>448</v>
      </c>
      <c r="C82" s="2" t="s">
        <v>59</v>
      </c>
      <c r="D82" s="2" t="s">
        <v>261</v>
      </c>
      <c r="E82" s="2" t="s">
        <v>262</v>
      </c>
      <c r="F82" s="2" t="s">
        <v>261</v>
      </c>
      <c r="G82" s="2"/>
      <c r="H82" s="2"/>
      <c r="I82" s="2"/>
      <c r="J82" s="2"/>
      <c r="K82" s="2"/>
      <c r="L82" s="2"/>
      <c r="M82" s="2"/>
      <c r="N82" s="2"/>
      <c r="O82" s="2" t="s">
        <v>449</v>
      </c>
      <c r="P82" s="2" t="s">
        <v>63</v>
      </c>
      <c r="Q82" s="2"/>
      <c r="R82" s="2"/>
      <c r="S82" s="2"/>
      <c r="T82" s="2" t="s">
        <v>450</v>
      </c>
      <c r="U82" s="2" t="s">
        <v>65</v>
      </c>
      <c r="V82" s="2" t="s">
        <v>66</v>
      </c>
      <c r="W82" s="2" t="s">
        <v>66</v>
      </c>
      <c r="X82" s="2" t="s">
        <v>65</v>
      </c>
      <c r="Y82" s="2" t="s">
        <v>451</v>
      </c>
      <c r="Z82" s="2" t="s">
        <v>452</v>
      </c>
      <c r="AA82" s="2" t="s">
        <v>73</v>
      </c>
      <c r="AB82" s="2" t="s">
        <v>70</v>
      </c>
      <c r="AC82" s="2" t="s">
        <v>71</v>
      </c>
      <c r="AD82" s="2" t="s">
        <v>72</v>
      </c>
      <c r="AE82" s="2"/>
      <c r="AF82" s="2"/>
      <c r="AG82" s="2"/>
      <c r="AH82" s="2" t="s">
        <v>453</v>
      </c>
      <c r="AI82" s="2" t="s">
        <v>454</v>
      </c>
      <c r="AJ82" s="2" t="s">
        <v>455</v>
      </c>
      <c r="AK82" s="2" t="s">
        <v>187</v>
      </c>
      <c r="AL82" s="2" t="s">
        <v>520</v>
      </c>
      <c r="AM82" s="2" t="s">
        <v>521</v>
      </c>
      <c r="AN82" s="2" t="s">
        <v>522</v>
      </c>
      <c r="AO82" s="2"/>
      <c r="AP82" s="2" t="s">
        <v>458</v>
      </c>
      <c r="AQ82" s="2" t="s">
        <v>459</v>
      </c>
      <c r="AR82" s="2" t="s">
        <v>460</v>
      </c>
      <c r="AS82" s="2" t="s">
        <v>461</v>
      </c>
      <c r="AT82" s="2"/>
      <c r="AU82" s="2" t="s">
        <v>462</v>
      </c>
      <c r="AV82" s="2" t="s">
        <v>463</v>
      </c>
      <c r="AW82" s="2" t="s">
        <v>214</v>
      </c>
      <c r="AX82" s="2" t="s">
        <v>484</v>
      </c>
      <c r="AY82" s="2"/>
      <c r="AZ82" s="2" t="s">
        <v>485</v>
      </c>
      <c r="BA82" s="2" t="s">
        <v>486</v>
      </c>
      <c r="BB82" s="2" t="s">
        <v>162</v>
      </c>
      <c r="BC82" s="2" t="s">
        <v>533</v>
      </c>
      <c r="BD82" s="2"/>
      <c r="BE82" s="2"/>
      <c r="BF82" s="2"/>
      <c r="BG82" s="2" t="s">
        <v>90</v>
      </c>
    </row>
    <row r="83" spans="1:59" ht="102" x14ac:dyDescent="0.4">
      <c r="A83" s="5" t="s">
        <v>739</v>
      </c>
      <c r="B83" s="2" t="s">
        <v>448</v>
      </c>
      <c r="C83" s="2" t="s">
        <v>59</v>
      </c>
      <c r="D83" s="2" t="s">
        <v>261</v>
      </c>
      <c r="E83" s="2" t="s">
        <v>262</v>
      </c>
      <c r="F83" s="2" t="s">
        <v>261</v>
      </c>
      <c r="G83" s="2"/>
      <c r="H83" s="2"/>
      <c r="I83" s="2"/>
      <c r="J83" s="2"/>
      <c r="K83" s="2"/>
      <c r="L83" s="2"/>
      <c r="M83" s="2"/>
      <c r="N83" s="2"/>
      <c r="O83" s="2" t="s">
        <v>449</v>
      </c>
      <c r="P83" s="2" t="s">
        <v>63</v>
      </c>
      <c r="Q83" s="2"/>
      <c r="R83" s="2"/>
      <c r="S83" s="2"/>
      <c r="T83" s="2" t="s">
        <v>450</v>
      </c>
      <c r="U83" s="2" t="s">
        <v>65</v>
      </c>
      <c r="V83" s="2" t="s">
        <v>66</v>
      </c>
      <c r="W83" s="2" t="s">
        <v>66</v>
      </c>
      <c r="X83" s="2" t="s">
        <v>65</v>
      </c>
      <c r="Y83" s="2" t="s">
        <v>451</v>
      </c>
      <c r="Z83" s="2" t="s">
        <v>452</v>
      </c>
      <c r="AA83" s="2" t="s">
        <v>73</v>
      </c>
      <c r="AB83" s="2" t="s">
        <v>70</v>
      </c>
      <c r="AC83" s="2" t="s">
        <v>71</v>
      </c>
      <c r="AD83" s="2" t="s">
        <v>72</v>
      </c>
      <c r="AE83" s="2"/>
      <c r="AF83" s="2"/>
      <c r="AG83" s="2"/>
      <c r="AH83" s="2" t="s">
        <v>453</v>
      </c>
      <c r="AI83" s="2" t="s">
        <v>454</v>
      </c>
      <c r="AJ83" s="2" t="s">
        <v>455</v>
      </c>
      <c r="AK83" s="2" t="s">
        <v>187</v>
      </c>
      <c r="AL83" s="2" t="s">
        <v>520</v>
      </c>
      <c r="AM83" s="2" t="s">
        <v>521</v>
      </c>
      <c r="AN83" s="2" t="s">
        <v>522</v>
      </c>
      <c r="AO83" s="2"/>
      <c r="AP83" s="2" t="s">
        <v>458</v>
      </c>
      <c r="AQ83" s="2" t="s">
        <v>459</v>
      </c>
      <c r="AR83" s="2" t="s">
        <v>460</v>
      </c>
      <c r="AS83" s="2" t="s">
        <v>461</v>
      </c>
      <c r="AT83" s="2"/>
      <c r="AU83" s="2" t="s">
        <v>462</v>
      </c>
      <c r="AV83" s="2" t="s">
        <v>463</v>
      </c>
      <c r="AW83" s="2" t="s">
        <v>534</v>
      </c>
      <c r="AX83" s="2" t="s">
        <v>488</v>
      </c>
      <c r="AY83" s="2"/>
      <c r="AZ83" s="2" t="s">
        <v>485</v>
      </c>
      <c r="BA83" s="2" t="s">
        <v>486</v>
      </c>
      <c r="BB83" s="2" t="s">
        <v>73</v>
      </c>
      <c r="BC83" s="2" t="s">
        <v>489</v>
      </c>
      <c r="BD83" s="2"/>
      <c r="BE83" s="2"/>
      <c r="BF83" s="2"/>
      <c r="BG83" s="2" t="s">
        <v>90</v>
      </c>
    </row>
    <row r="84" spans="1:59" ht="102" x14ac:dyDescent="0.4">
      <c r="A84" s="5" t="s">
        <v>739</v>
      </c>
      <c r="B84" s="2" t="s">
        <v>448</v>
      </c>
      <c r="C84" s="2" t="s">
        <v>59</v>
      </c>
      <c r="D84" s="2" t="s">
        <v>261</v>
      </c>
      <c r="E84" s="2" t="s">
        <v>262</v>
      </c>
      <c r="F84" s="2" t="s">
        <v>261</v>
      </c>
      <c r="G84" s="2"/>
      <c r="H84" s="2"/>
      <c r="I84" s="2"/>
      <c r="J84" s="2"/>
      <c r="K84" s="2"/>
      <c r="L84" s="2"/>
      <c r="M84" s="2"/>
      <c r="N84" s="2"/>
      <c r="O84" s="2" t="s">
        <v>449</v>
      </c>
      <c r="P84" s="2" t="s">
        <v>63</v>
      </c>
      <c r="Q84" s="2"/>
      <c r="R84" s="2"/>
      <c r="S84" s="2"/>
      <c r="T84" s="2" t="s">
        <v>450</v>
      </c>
      <c r="U84" s="2" t="s">
        <v>65</v>
      </c>
      <c r="V84" s="2" t="s">
        <v>66</v>
      </c>
      <c r="W84" s="2" t="s">
        <v>66</v>
      </c>
      <c r="X84" s="2" t="s">
        <v>65</v>
      </c>
      <c r="Y84" s="2" t="s">
        <v>451</v>
      </c>
      <c r="Z84" s="2" t="s">
        <v>452</v>
      </c>
      <c r="AA84" s="2" t="s">
        <v>73</v>
      </c>
      <c r="AB84" s="2" t="s">
        <v>70</v>
      </c>
      <c r="AC84" s="2" t="s">
        <v>71</v>
      </c>
      <c r="AD84" s="2" t="s">
        <v>72</v>
      </c>
      <c r="AE84" s="2"/>
      <c r="AF84" s="2"/>
      <c r="AG84" s="2"/>
      <c r="AH84" s="2" t="s">
        <v>453</v>
      </c>
      <c r="AI84" s="2" t="s">
        <v>454</v>
      </c>
      <c r="AJ84" s="2" t="s">
        <v>455</v>
      </c>
      <c r="AK84" s="2" t="s">
        <v>187</v>
      </c>
      <c r="AL84" s="2" t="s">
        <v>520</v>
      </c>
      <c r="AM84" s="2" t="s">
        <v>521</v>
      </c>
      <c r="AN84" s="2" t="s">
        <v>522</v>
      </c>
      <c r="AO84" s="2"/>
      <c r="AP84" s="2" t="s">
        <v>458</v>
      </c>
      <c r="AQ84" s="2" t="s">
        <v>459</v>
      </c>
      <c r="AR84" s="2" t="s">
        <v>460</v>
      </c>
      <c r="AS84" s="2" t="s">
        <v>461</v>
      </c>
      <c r="AT84" s="2"/>
      <c r="AU84" s="2" t="s">
        <v>462</v>
      </c>
      <c r="AV84" s="2" t="s">
        <v>463</v>
      </c>
      <c r="AW84" s="2" t="s">
        <v>535</v>
      </c>
      <c r="AX84" s="2" t="s">
        <v>488</v>
      </c>
      <c r="AY84" s="2"/>
      <c r="AZ84" s="2" t="s">
        <v>485</v>
      </c>
      <c r="BA84" s="2" t="s">
        <v>486</v>
      </c>
      <c r="BB84" s="2" t="s">
        <v>88</v>
      </c>
      <c r="BC84" s="2" t="s">
        <v>536</v>
      </c>
      <c r="BD84" s="2"/>
      <c r="BE84" s="2"/>
      <c r="BF84" s="2"/>
      <c r="BG84" s="2" t="s">
        <v>90</v>
      </c>
    </row>
    <row r="85" spans="1:59" ht="102" x14ac:dyDescent="0.4">
      <c r="A85" s="5" t="s">
        <v>739</v>
      </c>
      <c r="B85" s="2" t="s">
        <v>448</v>
      </c>
      <c r="C85" s="2" t="s">
        <v>59</v>
      </c>
      <c r="D85" s="2" t="s">
        <v>261</v>
      </c>
      <c r="E85" s="2" t="s">
        <v>262</v>
      </c>
      <c r="F85" s="2" t="s">
        <v>261</v>
      </c>
      <c r="G85" s="2"/>
      <c r="H85" s="2"/>
      <c r="I85" s="2"/>
      <c r="J85" s="2"/>
      <c r="K85" s="2"/>
      <c r="L85" s="2"/>
      <c r="M85" s="2"/>
      <c r="N85" s="2"/>
      <c r="O85" s="2" t="s">
        <v>449</v>
      </c>
      <c r="P85" s="2" t="s">
        <v>63</v>
      </c>
      <c r="Q85" s="2"/>
      <c r="R85" s="2"/>
      <c r="S85" s="2"/>
      <c r="T85" s="2" t="s">
        <v>450</v>
      </c>
      <c r="U85" s="2" t="s">
        <v>65</v>
      </c>
      <c r="V85" s="2" t="s">
        <v>66</v>
      </c>
      <c r="W85" s="2" t="s">
        <v>66</v>
      </c>
      <c r="X85" s="2" t="s">
        <v>65</v>
      </c>
      <c r="Y85" s="2" t="s">
        <v>451</v>
      </c>
      <c r="Z85" s="2" t="s">
        <v>452</v>
      </c>
      <c r="AA85" s="2" t="s">
        <v>73</v>
      </c>
      <c r="AB85" s="2" t="s">
        <v>70</v>
      </c>
      <c r="AC85" s="2" t="s">
        <v>71</v>
      </c>
      <c r="AD85" s="2" t="s">
        <v>72</v>
      </c>
      <c r="AE85" s="2"/>
      <c r="AF85" s="2"/>
      <c r="AG85" s="2"/>
      <c r="AH85" s="2" t="s">
        <v>453</v>
      </c>
      <c r="AI85" s="2" t="s">
        <v>454</v>
      </c>
      <c r="AJ85" s="2" t="s">
        <v>455</v>
      </c>
      <c r="AK85" s="2" t="s">
        <v>187</v>
      </c>
      <c r="AL85" s="2" t="s">
        <v>520</v>
      </c>
      <c r="AM85" s="2" t="s">
        <v>521</v>
      </c>
      <c r="AN85" s="2" t="s">
        <v>522</v>
      </c>
      <c r="AO85" s="2"/>
      <c r="AP85" s="2" t="s">
        <v>458</v>
      </c>
      <c r="AQ85" s="2" t="s">
        <v>459</v>
      </c>
      <c r="AR85" s="2" t="s">
        <v>460</v>
      </c>
      <c r="AS85" s="2" t="s">
        <v>461</v>
      </c>
      <c r="AT85" s="2"/>
      <c r="AU85" s="2" t="s">
        <v>462</v>
      </c>
      <c r="AV85" s="2" t="s">
        <v>463</v>
      </c>
      <c r="AW85" s="2" t="s">
        <v>537</v>
      </c>
      <c r="AX85" s="2" t="s">
        <v>488</v>
      </c>
      <c r="AY85" s="2"/>
      <c r="AZ85" s="2" t="s">
        <v>485</v>
      </c>
      <c r="BA85" s="2" t="s">
        <v>486</v>
      </c>
      <c r="BB85" s="2" t="s">
        <v>88</v>
      </c>
      <c r="BC85" s="2" t="s">
        <v>536</v>
      </c>
      <c r="BD85" s="2"/>
      <c r="BE85" s="2"/>
      <c r="BF85" s="2"/>
      <c r="BG85" s="2" t="s">
        <v>90</v>
      </c>
    </row>
    <row r="86" spans="1:59" ht="102" x14ac:dyDescent="0.4">
      <c r="A86" s="5" t="s">
        <v>739</v>
      </c>
      <c r="B86" s="2" t="s">
        <v>448</v>
      </c>
      <c r="C86" s="2" t="s">
        <v>59</v>
      </c>
      <c r="D86" s="2" t="s">
        <v>261</v>
      </c>
      <c r="E86" s="2" t="s">
        <v>262</v>
      </c>
      <c r="F86" s="2" t="s">
        <v>261</v>
      </c>
      <c r="G86" s="2"/>
      <c r="H86" s="2"/>
      <c r="I86" s="2"/>
      <c r="J86" s="2"/>
      <c r="K86" s="2"/>
      <c r="L86" s="2"/>
      <c r="M86" s="2"/>
      <c r="N86" s="2"/>
      <c r="O86" s="2" t="s">
        <v>449</v>
      </c>
      <c r="P86" s="2" t="s">
        <v>63</v>
      </c>
      <c r="Q86" s="2"/>
      <c r="R86" s="2"/>
      <c r="S86" s="2"/>
      <c r="T86" s="2" t="s">
        <v>450</v>
      </c>
      <c r="U86" s="2" t="s">
        <v>65</v>
      </c>
      <c r="V86" s="2" t="s">
        <v>66</v>
      </c>
      <c r="W86" s="2" t="s">
        <v>66</v>
      </c>
      <c r="X86" s="2" t="s">
        <v>65</v>
      </c>
      <c r="Y86" s="2" t="s">
        <v>451</v>
      </c>
      <c r="Z86" s="2" t="s">
        <v>452</v>
      </c>
      <c r="AA86" s="2" t="s">
        <v>73</v>
      </c>
      <c r="AB86" s="2" t="s">
        <v>70</v>
      </c>
      <c r="AC86" s="2" t="s">
        <v>71</v>
      </c>
      <c r="AD86" s="2" t="s">
        <v>72</v>
      </c>
      <c r="AE86" s="2"/>
      <c r="AF86" s="2"/>
      <c r="AG86" s="2"/>
      <c r="AH86" s="2" t="s">
        <v>453</v>
      </c>
      <c r="AI86" s="2" t="s">
        <v>454</v>
      </c>
      <c r="AJ86" s="2" t="s">
        <v>455</v>
      </c>
      <c r="AK86" s="2" t="s">
        <v>187</v>
      </c>
      <c r="AL86" s="2" t="s">
        <v>520</v>
      </c>
      <c r="AM86" s="2" t="s">
        <v>521</v>
      </c>
      <c r="AN86" s="2" t="s">
        <v>522</v>
      </c>
      <c r="AO86" s="2"/>
      <c r="AP86" s="2" t="s">
        <v>458</v>
      </c>
      <c r="AQ86" s="2" t="s">
        <v>459</v>
      </c>
      <c r="AR86" s="2" t="s">
        <v>460</v>
      </c>
      <c r="AS86" s="2" t="s">
        <v>461</v>
      </c>
      <c r="AT86" s="2"/>
      <c r="AU86" s="2" t="s">
        <v>462</v>
      </c>
      <c r="AV86" s="2" t="s">
        <v>463</v>
      </c>
      <c r="AW86" s="2" t="s">
        <v>538</v>
      </c>
      <c r="AX86" s="2" t="s">
        <v>490</v>
      </c>
      <c r="AY86" s="2"/>
      <c r="AZ86" s="2" t="s">
        <v>485</v>
      </c>
      <c r="BA86" s="2" t="s">
        <v>486</v>
      </c>
      <c r="BB86" s="2" t="s">
        <v>143</v>
      </c>
      <c r="BC86" s="2" t="s">
        <v>494</v>
      </c>
      <c r="BD86" s="2"/>
      <c r="BE86" s="2"/>
      <c r="BF86" s="2"/>
      <c r="BG86" s="2" t="s">
        <v>90</v>
      </c>
    </row>
    <row r="87" spans="1:59" ht="102" x14ac:dyDescent="0.4">
      <c r="A87" s="5" t="s">
        <v>739</v>
      </c>
      <c r="B87" s="2" t="s">
        <v>448</v>
      </c>
      <c r="C87" s="2" t="s">
        <v>59</v>
      </c>
      <c r="D87" s="2" t="s">
        <v>261</v>
      </c>
      <c r="E87" s="2" t="s">
        <v>262</v>
      </c>
      <c r="F87" s="2" t="s">
        <v>261</v>
      </c>
      <c r="G87" s="2"/>
      <c r="H87" s="2"/>
      <c r="I87" s="2"/>
      <c r="J87" s="2"/>
      <c r="K87" s="2"/>
      <c r="L87" s="2"/>
      <c r="M87" s="2"/>
      <c r="N87" s="2"/>
      <c r="O87" s="2" t="s">
        <v>449</v>
      </c>
      <c r="P87" s="2" t="s">
        <v>63</v>
      </c>
      <c r="Q87" s="2"/>
      <c r="R87" s="2"/>
      <c r="S87" s="2"/>
      <c r="T87" s="2" t="s">
        <v>450</v>
      </c>
      <c r="U87" s="2" t="s">
        <v>65</v>
      </c>
      <c r="V87" s="2" t="s">
        <v>66</v>
      </c>
      <c r="W87" s="2" t="s">
        <v>66</v>
      </c>
      <c r="X87" s="2" t="s">
        <v>65</v>
      </c>
      <c r="Y87" s="2" t="s">
        <v>451</v>
      </c>
      <c r="Z87" s="2" t="s">
        <v>452</v>
      </c>
      <c r="AA87" s="2" t="s">
        <v>73</v>
      </c>
      <c r="AB87" s="2" t="s">
        <v>70</v>
      </c>
      <c r="AC87" s="2" t="s">
        <v>71</v>
      </c>
      <c r="AD87" s="2" t="s">
        <v>72</v>
      </c>
      <c r="AE87" s="2"/>
      <c r="AF87" s="2"/>
      <c r="AG87" s="2"/>
      <c r="AH87" s="2" t="s">
        <v>453</v>
      </c>
      <c r="AI87" s="2" t="s">
        <v>454</v>
      </c>
      <c r="AJ87" s="2" t="s">
        <v>455</v>
      </c>
      <c r="AK87" s="2" t="s">
        <v>187</v>
      </c>
      <c r="AL87" s="2" t="s">
        <v>520</v>
      </c>
      <c r="AM87" s="2" t="s">
        <v>521</v>
      </c>
      <c r="AN87" s="2" t="s">
        <v>522</v>
      </c>
      <c r="AO87" s="2"/>
      <c r="AP87" s="2" t="s">
        <v>458</v>
      </c>
      <c r="AQ87" s="2" t="s">
        <v>459</v>
      </c>
      <c r="AR87" s="2" t="s">
        <v>460</v>
      </c>
      <c r="AS87" s="2" t="s">
        <v>461</v>
      </c>
      <c r="AT87" s="2"/>
      <c r="AU87" s="2" t="s">
        <v>462</v>
      </c>
      <c r="AV87" s="2" t="s">
        <v>463</v>
      </c>
      <c r="AW87" s="2" t="s">
        <v>124</v>
      </c>
      <c r="AX87" s="2" t="s">
        <v>496</v>
      </c>
      <c r="AY87" s="2"/>
      <c r="AZ87" s="2" t="s">
        <v>497</v>
      </c>
      <c r="BA87" s="2" t="s">
        <v>498</v>
      </c>
      <c r="BB87" s="2" t="s">
        <v>97</v>
      </c>
      <c r="BC87" s="2" t="s">
        <v>539</v>
      </c>
      <c r="BD87" s="2"/>
      <c r="BE87" s="2"/>
      <c r="BF87" s="2"/>
      <c r="BG87" s="2" t="s">
        <v>90</v>
      </c>
    </row>
    <row r="88" spans="1:59" ht="116.5" x14ac:dyDescent="0.4">
      <c r="A88" s="5" t="s">
        <v>739</v>
      </c>
      <c r="B88" s="2" t="s">
        <v>448</v>
      </c>
      <c r="C88" s="2" t="s">
        <v>59</v>
      </c>
      <c r="D88" s="2" t="s">
        <v>261</v>
      </c>
      <c r="E88" s="2" t="s">
        <v>262</v>
      </c>
      <c r="F88" s="2" t="s">
        <v>261</v>
      </c>
      <c r="G88" s="2"/>
      <c r="H88" s="2"/>
      <c r="I88" s="2"/>
      <c r="J88" s="2"/>
      <c r="K88" s="2"/>
      <c r="L88" s="2"/>
      <c r="M88" s="2"/>
      <c r="N88" s="2"/>
      <c r="O88" s="2" t="s">
        <v>449</v>
      </c>
      <c r="P88" s="2" t="s">
        <v>63</v>
      </c>
      <c r="Q88" s="2"/>
      <c r="R88" s="2"/>
      <c r="S88" s="2"/>
      <c r="T88" s="2" t="s">
        <v>450</v>
      </c>
      <c r="U88" s="2" t="s">
        <v>65</v>
      </c>
      <c r="V88" s="2" t="s">
        <v>66</v>
      </c>
      <c r="W88" s="2" t="s">
        <v>66</v>
      </c>
      <c r="X88" s="2" t="s">
        <v>65</v>
      </c>
      <c r="Y88" s="2" t="s">
        <v>451</v>
      </c>
      <c r="Z88" s="2" t="s">
        <v>452</v>
      </c>
      <c r="AA88" s="2" t="s">
        <v>73</v>
      </c>
      <c r="AB88" s="2" t="s">
        <v>70</v>
      </c>
      <c r="AC88" s="2" t="s">
        <v>71</v>
      </c>
      <c r="AD88" s="2" t="s">
        <v>72</v>
      </c>
      <c r="AE88" s="2"/>
      <c r="AF88" s="2"/>
      <c r="AG88" s="2"/>
      <c r="AH88" s="2" t="s">
        <v>453</v>
      </c>
      <c r="AI88" s="2" t="s">
        <v>454</v>
      </c>
      <c r="AJ88" s="2" t="s">
        <v>455</v>
      </c>
      <c r="AK88" s="2" t="s">
        <v>187</v>
      </c>
      <c r="AL88" s="2" t="s">
        <v>520</v>
      </c>
      <c r="AM88" s="2" t="s">
        <v>521</v>
      </c>
      <c r="AN88" s="2" t="s">
        <v>522</v>
      </c>
      <c r="AO88" s="2"/>
      <c r="AP88" s="2" t="s">
        <v>458</v>
      </c>
      <c r="AQ88" s="2" t="s">
        <v>459</v>
      </c>
      <c r="AR88" s="2" t="s">
        <v>460</v>
      </c>
      <c r="AS88" s="2" t="s">
        <v>461</v>
      </c>
      <c r="AT88" s="2"/>
      <c r="AU88" s="2" t="s">
        <v>462</v>
      </c>
      <c r="AV88" s="2" t="s">
        <v>463</v>
      </c>
      <c r="AW88" s="2" t="s">
        <v>540</v>
      </c>
      <c r="AX88" s="2" t="s">
        <v>541</v>
      </c>
      <c r="AY88" s="2"/>
      <c r="AZ88" s="2" t="s">
        <v>508</v>
      </c>
      <c r="BA88" s="2" t="s">
        <v>509</v>
      </c>
      <c r="BB88" s="2" t="s">
        <v>73</v>
      </c>
      <c r="BC88" s="2" t="s">
        <v>542</v>
      </c>
      <c r="BD88" s="2"/>
      <c r="BE88" s="2"/>
      <c r="BF88" s="2"/>
      <c r="BG88" s="2" t="s">
        <v>90</v>
      </c>
    </row>
    <row r="89" spans="1:59" ht="102" x14ac:dyDescent="0.4">
      <c r="A89" s="5" t="s">
        <v>739</v>
      </c>
      <c r="B89" s="2" t="s">
        <v>448</v>
      </c>
      <c r="C89" s="2" t="s">
        <v>59</v>
      </c>
      <c r="D89" s="2" t="s">
        <v>261</v>
      </c>
      <c r="E89" s="2" t="s">
        <v>262</v>
      </c>
      <c r="F89" s="2" t="s">
        <v>261</v>
      </c>
      <c r="G89" s="2"/>
      <c r="H89" s="2"/>
      <c r="I89" s="2"/>
      <c r="J89" s="2"/>
      <c r="K89" s="2"/>
      <c r="L89" s="2"/>
      <c r="M89" s="2"/>
      <c r="N89" s="2"/>
      <c r="O89" s="2" t="s">
        <v>449</v>
      </c>
      <c r="P89" s="2" t="s">
        <v>63</v>
      </c>
      <c r="Q89" s="2"/>
      <c r="R89" s="2"/>
      <c r="S89" s="2"/>
      <c r="T89" s="2" t="s">
        <v>450</v>
      </c>
      <c r="U89" s="2" t="s">
        <v>65</v>
      </c>
      <c r="V89" s="2" t="s">
        <v>66</v>
      </c>
      <c r="W89" s="2" t="s">
        <v>66</v>
      </c>
      <c r="X89" s="2" t="s">
        <v>65</v>
      </c>
      <c r="Y89" s="2" t="s">
        <v>451</v>
      </c>
      <c r="Z89" s="2" t="s">
        <v>452</v>
      </c>
      <c r="AA89" s="2" t="s">
        <v>73</v>
      </c>
      <c r="AB89" s="2" t="s">
        <v>70</v>
      </c>
      <c r="AC89" s="2" t="s">
        <v>71</v>
      </c>
      <c r="AD89" s="2" t="s">
        <v>72</v>
      </c>
      <c r="AE89" s="2"/>
      <c r="AF89" s="2"/>
      <c r="AG89" s="2"/>
      <c r="AH89" s="2" t="s">
        <v>453</v>
      </c>
      <c r="AI89" s="2" t="s">
        <v>454</v>
      </c>
      <c r="AJ89" s="2" t="s">
        <v>455</v>
      </c>
      <c r="AK89" s="2" t="s">
        <v>187</v>
      </c>
      <c r="AL89" s="2" t="s">
        <v>520</v>
      </c>
      <c r="AM89" s="2" t="s">
        <v>521</v>
      </c>
      <c r="AN89" s="2" t="s">
        <v>522</v>
      </c>
      <c r="AO89" s="2"/>
      <c r="AP89" s="2" t="s">
        <v>458</v>
      </c>
      <c r="AQ89" s="2" t="s">
        <v>459</v>
      </c>
      <c r="AR89" s="2" t="s">
        <v>460</v>
      </c>
      <c r="AS89" s="2" t="s">
        <v>461</v>
      </c>
      <c r="AT89" s="2"/>
      <c r="AU89" s="2" t="s">
        <v>462</v>
      </c>
      <c r="AV89" s="2" t="s">
        <v>463</v>
      </c>
      <c r="AW89" s="2" t="s">
        <v>543</v>
      </c>
      <c r="AX89" s="2" t="s">
        <v>507</v>
      </c>
      <c r="AY89" s="2"/>
      <c r="AZ89" s="2" t="s">
        <v>508</v>
      </c>
      <c r="BA89" s="2" t="s">
        <v>509</v>
      </c>
      <c r="BB89" s="2" t="s">
        <v>143</v>
      </c>
      <c r="BC89" s="2" t="s">
        <v>544</v>
      </c>
      <c r="BD89" s="2"/>
      <c r="BE89" s="2"/>
      <c r="BF89" s="2"/>
      <c r="BG89" s="2" t="s">
        <v>90</v>
      </c>
    </row>
    <row r="90" spans="1:59" ht="116.5" x14ac:dyDescent="0.4">
      <c r="A90" s="5" t="s">
        <v>739</v>
      </c>
      <c r="B90" s="2" t="s">
        <v>448</v>
      </c>
      <c r="C90" s="2" t="s">
        <v>59</v>
      </c>
      <c r="D90" s="2" t="s">
        <v>261</v>
      </c>
      <c r="E90" s="2" t="s">
        <v>262</v>
      </c>
      <c r="F90" s="2" t="s">
        <v>261</v>
      </c>
      <c r="G90" s="2"/>
      <c r="H90" s="2"/>
      <c r="I90" s="2"/>
      <c r="J90" s="2"/>
      <c r="K90" s="2"/>
      <c r="L90" s="2"/>
      <c r="M90" s="2"/>
      <c r="N90" s="2"/>
      <c r="O90" s="2" t="s">
        <v>449</v>
      </c>
      <c r="P90" s="2" t="s">
        <v>63</v>
      </c>
      <c r="Q90" s="2"/>
      <c r="R90" s="2"/>
      <c r="S90" s="2"/>
      <c r="T90" s="2" t="s">
        <v>450</v>
      </c>
      <c r="U90" s="2" t="s">
        <v>65</v>
      </c>
      <c r="V90" s="2" t="s">
        <v>66</v>
      </c>
      <c r="W90" s="2" t="s">
        <v>66</v>
      </c>
      <c r="X90" s="2" t="s">
        <v>65</v>
      </c>
      <c r="Y90" s="2" t="s">
        <v>451</v>
      </c>
      <c r="Z90" s="2" t="s">
        <v>452</v>
      </c>
      <c r="AA90" s="2" t="s">
        <v>73</v>
      </c>
      <c r="AB90" s="2" t="s">
        <v>70</v>
      </c>
      <c r="AC90" s="2" t="s">
        <v>71</v>
      </c>
      <c r="AD90" s="2" t="s">
        <v>72</v>
      </c>
      <c r="AE90" s="2"/>
      <c r="AF90" s="2"/>
      <c r="AG90" s="2"/>
      <c r="AH90" s="2" t="s">
        <v>453</v>
      </c>
      <c r="AI90" s="2" t="s">
        <v>454</v>
      </c>
      <c r="AJ90" s="2" t="s">
        <v>455</v>
      </c>
      <c r="AK90" s="2" t="s">
        <v>187</v>
      </c>
      <c r="AL90" s="2" t="s">
        <v>520</v>
      </c>
      <c r="AM90" s="2" t="s">
        <v>521</v>
      </c>
      <c r="AN90" s="2" t="s">
        <v>522</v>
      </c>
      <c r="AO90" s="2"/>
      <c r="AP90" s="2" t="s">
        <v>458</v>
      </c>
      <c r="AQ90" s="2" t="s">
        <v>459</v>
      </c>
      <c r="AR90" s="2" t="s">
        <v>460</v>
      </c>
      <c r="AS90" s="2" t="s">
        <v>461</v>
      </c>
      <c r="AT90" s="2"/>
      <c r="AU90" s="2" t="s">
        <v>462</v>
      </c>
      <c r="AV90" s="2" t="s">
        <v>463</v>
      </c>
      <c r="AW90" s="2" t="s">
        <v>155</v>
      </c>
      <c r="AX90" s="2" t="s">
        <v>511</v>
      </c>
      <c r="AY90" s="2"/>
      <c r="AZ90" s="2" t="s">
        <v>508</v>
      </c>
      <c r="BA90" s="2" t="s">
        <v>509</v>
      </c>
      <c r="BB90" s="2" t="s">
        <v>73</v>
      </c>
      <c r="BC90" s="2" t="s">
        <v>512</v>
      </c>
      <c r="BD90" s="2"/>
      <c r="BE90" s="2"/>
      <c r="BF90" s="2"/>
      <c r="BG90" s="2" t="s">
        <v>90</v>
      </c>
    </row>
    <row r="91" spans="1:59" ht="116.5" x14ac:dyDescent="0.4">
      <c r="A91" s="5" t="s">
        <v>739</v>
      </c>
      <c r="B91" s="2" t="s">
        <v>448</v>
      </c>
      <c r="C91" s="2" t="s">
        <v>59</v>
      </c>
      <c r="D91" s="2" t="s">
        <v>261</v>
      </c>
      <c r="E91" s="2" t="s">
        <v>262</v>
      </c>
      <c r="F91" s="2" t="s">
        <v>261</v>
      </c>
      <c r="G91" s="2"/>
      <c r="H91" s="2"/>
      <c r="I91" s="2"/>
      <c r="J91" s="2"/>
      <c r="K91" s="2"/>
      <c r="L91" s="2"/>
      <c r="M91" s="2"/>
      <c r="N91" s="2"/>
      <c r="O91" s="2" t="s">
        <v>449</v>
      </c>
      <c r="P91" s="2" t="s">
        <v>63</v>
      </c>
      <c r="Q91" s="2"/>
      <c r="R91" s="2"/>
      <c r="S91" s="2"/>
      <c r="T91" s="2" t="s">
        <v>450</v>
      </c>
      <c r="U91" s="2" t="s">
        <v>65</v>
      </c>
      <c r="V91" s="2" t="s">
        <v>66</v>
      </c>
      <c r="W91" s="2" t="s">
        <v>66</v>
      </c>
      <c r="X91" s="2" t="s">
        <v>65</v>
      </c>
      <c r="Y91" s="2" t="s">
        <v>451</v>
      </c>
      <c r="Z91" s="2" t="s">
        <v>452</v>
      </c>
      <c r="AA91" s="2" t="s">
        <v>73</v>
      </c>
      <c r="AB91" s="2" t="s">
        <v>70</v>
      </c>
      <c r="AC91" s="2" t="s">
        <v>71</v>
      </c>
      <c r="AD91" s="2" t="s">
        <v>72</v>
      </c>
      <c r="AE91" s="2"/>
      <c r="AF91" s="2"/>
      <c r="AG91" s="2"/>
      <c r="AH91" s="2" t="s">
        <v>453</v>
      </c>
      <c r="AI91" s="2" t="s">
        <v>454</v>
      </c>
      <c r="AJ91" s="2" t="s">
        <v>455</v>
      </c>
      <c r="AK91" s="2" t="s">
        <v>187</v>
      </c>
      <c r="AL91" s="2" t="s">
        <v>520</v>
      </c>
      <c r="AM91" s="2" t="s">
        <v>521</v>
      </c>
      <c r="AN91" s="2" t="s">
        <v>522</v>
      </c>
      <c r="AO91" s="2"/>
      <c r="AP91" s="2" t="s">
        <v>458</v>
      </c>
      <c r="AQ91" s="2" t="s">
        <v>459</v>
      </c>
      <c r="AR91" s="2" t="s">
        <v>460</v>
      </c>
      <c r="AS91" s="2" t="s">
        <v>461</v>
      </c>
      <c r="AT91" s="2"/>
      <c r="AU91" s="2" t="s">
        <v>462</v>
      </c>
      <c r="AV91" s="2" t="s">
        <v>463</v>
      </c>
      <c r="AW91" s="2" t="s">
        <v>545</v>
      </c>
      <c r="AX91" s="2" t="s">
        <v>511</v>
      </c>
      <c r="AY91" s="2"/>
      <c r="AZ91" s="2" t="s">
        <v>508</v>
      </c>
      <c r="BA91" s="2" t="s">
        <v>509</v>
      </c>
      <c r="BB91" s="2" t="s">
        <v>73</v>
      </c>
      <c r="BC91" s="2" t="s">
        <v>512</v>
      </c>
      <c r="BD91" s="2"/>
      <c r="BE91" s="2"/>
      <c r="BF91" s="2"/>
      <c r="BG91" s="2" t="s">
        <v>90</v>
      </c>
    </row>
    <row r="92" spans="1:59" ht="29.5" x14ac:dyDescent="0.4">
      <c r="A92" s="5" t="s">
        <v>739</v>
      </c>
      <c r="B92" s="2" t="s">
        <v>448</v>
      </c>
      <c r="C92" s="2" t="s">
        <v>59</v>
      </c>
      <c r="D92" s="2" t="s">
        <v>261</v>
      </c>
      <c r="E92" s="2" t="s">
        <v>262</v>
      </c>
      <c r="F92" s="2" t="s">
        <v>261</v>
      </c>
      <c r="G92" s="2"/>
      <c r="H92" s="2"/>
      <c r="I92" s="2"/>
      <c r="J92" s="2"/>
      <c r="K92" s="2"/>
      <c r="L92" s="2"/>
      <c r="M92" s="2"/>
      <c r="N92" s="2"/>
      <c r="O92" s="2" t="s">
        <v>449</v>
      </c>
      <c r="P92" s="2" t="s">
        <v>63</v>
      </c>
      <c r="Q92" s="2"/>
      <c r="R92" s="2"/>
      <c r="S92" s="2"/>
      <c r="T92" s="2" t="s">
        <v>450</v>
      </c>
      <c r="U92" s="2" t="s">
        <v>65</v>
      </c>
      <c r="V92" s="2" t="s">
        <v>66</v>
      </c>
      <c r="W92" s="2" t="s">
        <v>66</v>
      </c>
      <c r="X92" s="2" t="s">
        <v>65</v>
      </c>
      <c r="Y92" s="2" t="s">
        <v>451</v>
      </c>
      <c r="Z92" s="2" t="s">
        <v>452</v>
      </c>
      <c r="AA92" s="2" t="s">
        <v>73</v>
      </c>
      <c r="AB92" s="2" t="s">
        <v>70</v>
      </c>
      <c r="AC92" s="2" t="s">
        <v>71</v>
      </c>
      <c r="AD92" s="2" t="s">
        <v>72</v>
      </c>
      <c r="AE92" s="2"/>
      <c r="AF92" s="2"/>
      <c r="AG92" s="2"/>
      <c r="AH92" s="2" t="s">
        <v>453</v>
      </c>
      <c r="AI92" s="2" t="s">
        <v>454</v>
      </c>
      <c r="AJ92" s="2" t="s">
        <v>455</v>
      </c>
      <c r="AK92" s="2" t="s">
        <v>187</v>
      </c>
      <c r="AL92" s="2" t="s">
        <v>546</v>
      </c>
      <c r="AM92" s="2" t="s">
        <v>547</v>
      </c>
      <c r="AN92" s="2" t="s">
        <v>548</v>
      </c>
      <c r="AO92" s="2"/>
      <c r="AP92" s="2" t="s">
        <v>458</v>
      </c>
      <c r="AQ92" s="2" t="s">
        <v>459</v>
      </c>
      <c r="AR92" s="2" t="s">
        <v>460</v>
      </c>
      <c r="AS92" s="2" t="s">
        <v>461</v>
      </c>
      <c r="AT92" s="2"/>
      <c r="AU92" s="2" t="s">
        <v>462</v>
      </c>
      <c r="AV92" s="2" t="s">
        <v>463</v>
      </c>
      <c r="AW92" s="2" t="s">
        <v>73</v>
      </c>
      <c r="AX92" s="2" t="s">
        <v>549</v>
      </c>
      <c r="AY92" s="2"/>
      <c r="AZ92" s="2" t="s">
        <v>508</v>
      </c>
      <c r="BA92" s="2" t="s">
        <v>550</v>
      </c>
      <c r="BB92" s="2" t="s">
        <v>162</v>
      </c>
      <c r="BC92" s="2" t="s">
        <v>551</v>
      </c>
      <c r="BD92" s="2"/>
      <c r="BE92" s="2"/>
      <c r="BF92" s="2"/>
      <c r="BG92" s="2" t="s">
        <v>90</v>
      </c>
    </row>
    <row r="93" spans="1:59" ht="102" x14ac:dyDescent="0.4">
      <c r="A93" s="5" t="s">
        <v>739</v>
      </c>
      <c r="B93" s="2" t="s">
        <v>448</v>
      </c>
      <c r="C93" s="2" t="s">
        <v>59</v>
      </c>
      <c r="D93" s="2" t="s">
        <v>261</v>
      </c>
      <c r="E93" s="2" t="s">
        <v>262</v>
      </c>
      <c r="F93" s="2" t="s">
        <v>261</v>
      </c>
      <c r="G93" s="2"/>
      <c r="H93" s="2"/>
      <c r="I93" s="2"/>
      <c r="J93" s="2"/>
      <c r="K93" s="2"/>
      <c r="L93" s="2"/>
      <c r="M93" s="2"/>
      <c r="N93" s="2"/>
      <c r="O93" s="2" t="s">
        <v>449</v>
      </c>
      <c r="P93" s="2" t="s">
        <v>63</v>
      </c>
      <c r="Q93" s="2"/>
      <c r="R93" s="2"/>
      <c r="S93" s="2"/>
      <c r="T93" s="2" t="s">
        <v>450</v>
      </c>
      <c r="U93" s="2" t="s">
        <v>65</v>
      </c>
      <c r="V93" s="2" t="s">
        <v>66</v>
      </c>
      <c r="W93" s="2" t="s">
        <v>66</v>
      </c>
      <c r="X93" s="2" t="s">
        <v>65</v>
      </c>
      <c r="Y93" s="2" t="s">
        <v>451</v>
      </c>
      <c r="Z93" s="2" t="s">
        <v>452</v>
      </c>
      <c r="AA93" s="2" t="s">
        <v>73</v>
      </c>
      <c r="AB93" s="2" t="s">
        <v>70</v>
      </c>
      <c r="AC93" s="2" t="s">
        <v>71</v>
      </c>
      <c r="AD93" s="2" t="s">
        <v>72</v>
      </c>
      <c r="AE93" s="2"/>
      <c r="AF93" s="2"/>
      <c r="AG93" s="2"/>
      <c r="AH93" s="2" t="s">
        <v>453</v>
      </c>
      <c r="AI93" s="2" t="s">
        <v>454</v>
      </c>
      <c r="AJ93" s="2" t="s">
        <v>455</v>
      </c>
      <c r="AK93" s="2" t="s">
        <v>187</v>
      </c>
      <c r="AL93" s="2" t="s">
        <v>546</v>
      </c>
      <c r="AM93" s="2" t="s">
        <v>547</v>
      </c>
      <c r="AN93" s="2" t="s">
        <v>548</v>
      </c>
      <c r="AO93" s="2"/>
      <c r="AP93" s="2" t="s">
        <v>458</v>
      </c>
      <c r="AQ93" s="2" t="s">
        <v>459</v>
      </c>
      <c r="AR93" s="2" t="s">
        <v>460</v>
      </c>
      <c r="AS93" s="2" t="s">
        <v>461</v>
      </c>
      <c r="AT93" s="2"/>
      <c r="AU93" s="2" t="s">
        <v>462</v>
      </c>
      <c r="AV93" s="2" t="s">
        <v>463</v>
      </c>
      <c r="AW93" s="2" t="s">
        <v>91</v>
      </c>
      <c r="AX93" s="2" t="s">
        <v>464</v>
      </c>
      <c r="AY93" s="2"/>
      <c r="AZ93" s="2" t="s">
        <v>465</v>
      </c>
      <c r="BA93" s="2" t="s">
        <v>466</v>
      </c>
      <c r="BB93" s="2" t="s">
        <v>73</v>
      </c>
      <c r="BC93" s="2" t="s">
        <v>552</v>
      </c>
      <c r="BD93" s="2"/>
      <c r="BE93" s="2"/>
      <c r="BF93" s="2"/>
      <c r="BG93" s="2" t="s">
        <v>90</v>
      </c>
    </row>
    <row r="94" spans="1:59" ht="131" x14ac:dyDescent="0.4">
      <c r="A94" s="5" t="s">
        <v>739</v>
      </c>
      <c r="B94" s="2" t="s">
        <v>448</v>
      </c>
      <c r="C94" s="2" t="s">
        <v>59</v>
      </c>
      <c r="D94" s="2" t="s">
        <v>261</v>
      </c>
      <c r="E94" s="2" t="s">
        <v>262</v>
      </c>
      <c r="F94" s="2" t="s">
        <v>261</v>
      </c>
      <c r="G94" s="2"/>
      <c r="H94" s="2"/>
      <c r="I94" s="2"/>
      <c r="J94" s="2"/>
      <c r="K94" s="2"/>
      <c r="L94" s="2"/>
      <c r="M94" s="2"/>
      <c r="N94" s="2"/>
      <c r="O94" s="2" t="s">
        <v>449</v>
      </c>
      <c r="P94" s="2" t="s">
        <v>63</v>
      </c>
      <c r="Q94" s="2"/>
      <c r="R94" s="2"/>
      <c r="S94" s="2"/>
      <c r="T94" s="2" t="s">
        <v>450</v>
      </c>
      <c r="U94" s="2" t="s">
        <v>65</v>
      </c>
      <c r="V94" s="2" t="s">
        <v>66</v>
      </c>
      <c r="W94" s="2" t="s">
        <v>66</v>
      </c>
      <c r="X94" s="2" t="s">
        <v>65</v>
      </c>
      <c r="Y94" s="2" t="s">
        <v>451</v>
      </c>
      <c r="Z94" s="2" t="s">
        <v>452</v>
      </c>
      <c r="AA94" s="2" t="s">
        <v>73</v>
      </c>
      <c r="AB94" s="2" t="s">
        <v>70</v>
      </c>
      <c r="AC94" s="2" t="s">
        <v>71</v>
      </c>
      <c r="AD94" s="2" t="s">
        <v>72</v>
      </c>
      <c r="AE94" s="2"/>
      <c r="AF94" s="2"/>
      <c r="AG94" s="2"/>
      <c r="AH94" s="2" t="s">
        <v>453</v>
      </c>
      <c r="AI94" s="2" t="s">
        <v>454</v>
      </c>
      <c r="AJ94" s="2" t="s">
        <v>455</v>
      </c>
      <c r="AK94" s="2" t="s">
        <v>187</v>
      </c>
      <c r="AL94" s="2" t="s">
        <v>546</v>
      </c>
      <c r="AM94" s="2" t="s">
        <v>547</v>
      </c>
      <c r="AN94" s="2" t="s">
        <v>548</v>
      </c>
      <c r="AO94" s="2"/>
      <c r="AP94" s="2" t="s">
        <v>458</v>
      </c>
      <c r="AQ94" s="2" t="s">
        <v>459</v>
      </c>
      <c r="AR94" s="2" t="s">
        <v>460</v>
      </c>
      <c r="AS94" s="2" t="s">
        <v>461</v>
      </c>
      <c r="AT94" s="2"/>
      <c r="AU94" s="2" t="s">
        <v>462</v>
      </c>
      <c r="AV94" s="2" t="s">
        <v>463</v>
      </c>
      <c r="AW94" s="2" t="s">
        <v>88</v>
      </c>
      <c r="AX94" s="2" t="s">
        <v>468</v>
      </c>
      <c r="AY94" s="2"/>
      <c r="AZ94" s="2" t="s">
        <v>469</v>
      </c>
      <c r="BA94" s="2" t="s">
        <v>470</v>
      </c>
      <c r="BB94" s="2" t="s">
        <v>113</v>
      </c>
      <c r="BC94" s="2" t="s">
        <v>553</v>
      </c>
      <c r="BD94" s="2"/>
      <c r="BE94" s="2"/>
      <c r="BF94" s="2"/>
      <c r="BG94" s="2" t="s">
        <v>90</v>
      </c>
    </row>
    <row r="95" spans="1:59" ht="116.5" x14ac:dyDescent="0.4">
      <c r="A95" s="5" t="s">
        <v>739</v>
      </c>
      <c r="B95" s="2" t="s">
        <v>448</v>
      </c>
      <c r="C95" s="2" t="s">
        <v>59</v>
      </c>
      <c r="D95" s="2" t="s">
        <v>261</v>
      </c>
      <c r="E95" s="2" t="s">
        <v>262</v>
      </c>
      <c r="F95" s="2" t="s">
        <v>261</v>
      </c>
      <c r="G95" s="2"/>
      <c r="H95" s="2"/>
      <c r="I95" s="2"/>
      <c r="J95" s="2"/>
      <c r="K95" s="2"/>
      <c r="L95" s="2"/>
      <c r="M95" s="2"/>
      <c r="N95" s="2"/>
      <c r="O95" s="2" t="s">
        <v>449</v>
      </c>
      <c r="P95" s="2" t="s">
        <v>63</v>
      </c>
      <c r="Q95" s="2"/>
      <c r="R95" s="2"/>
      <c r="S95" s="2"/>
      <c r="T95" s="2" t="s">
        <v>450</v>
      </c>
      <c r="U95" s="2" t="s">
        <v>65</v>
      </c>
      <c r="V95" s="2" t="s">
        <v>66</v>
      </c>
      <c r="W95" s="2" t="s">
        <v>66</v>
      </c>
      <c r="X95" s="2" t="s">
        <v>65</v>
      </c>
      <c r="Y95" s="2" t="s">
        <v>451</v>
      </c>
      <c r="Z95" s="2" t="s">
        <v>452</v>
      </c>
      <c r="AA95" s="2" t="s">
        <v>73</v>
      </c>
      <c r="AB95" s="2" t="s">
        <v>70</v>
      </c>
      <c r="AC95" s="2" t="s">
        <v>71</v>
      </c>
      <c r="AD95" s="2" t="s">
        <v>72</v>
      </c>
      <c r="AE95" s="2"/>
      <c r="AF95" s="2"/>
      <c r="AG95" s="2"/>
      <c r="AH95" s="2" t="s">
        <v>453</v>
      </c>
      <c r="AI95" s="2" t="s">
        <v>454</v>
      </c>
      <c r="AJ95" s="2" t="s">
        <v>455</v>
      </c>
      <c r="AK95" s="2" t="s">
        <v>187</v>
      </c>
      <c r="AL95" s="2" t="s">
        <v>546</v>
      </c>
      <c r="AM95" s="2" t="s">
        <v>547</v>
      </c>
      <c r="AN95" s="2" t="s">
        <v>548</v>
      </c>
      <c r="AO95" s="2"/>
      <c r="AP95" s="2" t="s">
        <v>458</v>
      </c>
      <c r="AQ95" s="2" t="s">
        <v>459</v>
      </c>
      <c r="AR95" s="2" t="s">
        <v>460</v>
      </c>
      <c r="AS95" s="2" t="s">
        <v>461</v>
      </c>
      <c r="AT95" s="2"/>
      <c r="AU95" s="2" t="s">
        <v>462</v>
      </c>
      <c r="AV95" s="2" t="s">
        <v>463</v>
      </c>
      <c r="AW95" s="2" t="s">
        <v>143</v>
      </c>
      <c r="AX95" s="2" t="s">
        <v>554</v>
      </c>
      <c r="AY95" s="2"/>
      <c r="AZ95" s="2" t="s">
        <v>555</v>
      </c>
      <c r="BA95" s="2" t="s">
        <v>556</v>
      </c>
      <c r="BB95" s="2" t="s">
        <v>285</v>
      </c>
      <c r="BC95" s="2" t="s">
        <v>557</v>
      </c>
      <c r="BD95" s="2"/>
      <c r="BE95" s="2"/>
      <c r="BF95" s="2"/>
      <c r="BG95" s="2" t="s">
        <v>90</v>
      </c>
    </row>
    <row r="96" spans="1:59" ht="29.5" x14ac:dyDescent="0.4">
      <c r="A96" s="5" t="s">
        <v>739</v>
      </c>
      <c r="B96" s="2" t="s">
        <v>448</v>
      </c>
      <c r="C96" s="2" t="s">
        <v>59</v>
      </c>
      <c r="D96" s="2" t="s">
        <v>261</v>
      </c>
      <c r="E96" s="2" t="s">
        <v>262</v>
      </c>
      <c r="F96" s="2" t="s">
        <v>261</v>
      </c>
      <c r="G96" s="2"/>
      <c r="H96" s="2"/>
      <c r="I96" s="2"/>
      <c r="J96" s="2"/>
      <c r="K96" s="2"/>
      <c r="L96" s="2"/>
      <c r="M96" s="2"/>
      <c r="N96" s="2"/>
      <c r="O96" s="2" t="s">
        <v>449</v>
      </c>
      <c r="P96" s="2" t="s">
        <v>63</v>
      </c>
      <c r="Q96" s="2"/>
      <c r="R96" s="2"/>
      <c r="S96" s="2"/>
      <c r="T96" s="2" t="s">
        <v>450</v>
      </c>
      <c r="U96" s="2" t="s">
        <v>65</v>
      </c>
      <c r="V96" s="2" t="s">
        <v>66</v>
      </c>
      <c r="W96" s="2" t="s">
        <v>66</v>
      </c>
      <c r="X96" s="2" t="s">
        <v>65</v>
      </c>
      <c r="Y96" s="2" t="s">
        <v>451</v>
      </c>
      <c r="Z96" s="2" t="s">
        <v>452</v>
      </c>
      <c r="AA96" s="2" t="s">
        <v>73</v>
      </c>
      <c r="AB96" s="2" t="s">
        <v>70</v>
      </c>
      <c r="AC96" s="2" t="s">
        <v>71</v>
      </c>
      <c r="AD96" s="2" t="s">
        <v>72</v>
      </c>
      <c r="AE96" s="2"/>
      <c r="AF96" s="2"/>
      <c r="AG96" s="2"/>
      <c r="AH96" s="2" t="s">
        <v>453</v>
      </c>
      <c r="AI96" s="2" t="s">
        <v>454</v>
      </c>
      <c r="AJ96" s="2" t="s">
        <v>455</v>
      </c>
      <c r="AK96" s="2" t="s">
        <v>187</v>
      </c>
      <c r="AL96" s="2" t="s">
        <v>546</v>
      </c>
      <c r="AM96" s="2" t="s">
        <v>547</v>
      </c>
      <c r="AN96" s="2" t="s">
        <v>548</v>
      </c>
      <c r="AO96" s="2"/>
      <c r="AP96" s="2" t="s">
        <v>458</v>
      </c>
      <c r="AQ96" s="2" t="s">
        <v>459</v>
      </c>
      <c r="AR96" s="2" t="s">
        <v>460</v>
      </c>
      <c r="AS96" s="2" t="s">
        <v>461</v>
      </c>
      <c r="AT96" s="2"/>
      <c r="AU96" s="2" t="s">
        <v>462</v>
      </c>
      <c r="AV96" s="2" t="s">
        <v>463</v>
      </c>
      <c r="AW96" s="2" t="s">
        <v>69</v>
      </c>
      <c r="AX96" s="2" t="s">
        <v>516</v>
      </c>
      <c r="AY96" s="2"/>
      <c r="AZ96" s="2" t="s">
        <v>497</v>
      </c>
      <c r="BA96" s="2" t="s">
        <v>517</v>
      </c>
      <c r="BB96" s="2" t="s">
        <v>91</v>
      </c>
      <c r="BC96" s="2" t="s">
        <v>524</v>
      </c>
      <c r="BD96" s="2"/>
      <c r="BE96" s="2"/>
      <c r="BF96" s="2"/>
      <c r="BG96" s="2" t="s">
        <v>90</v>
      </c>
    </row>
    <row r="97" spans="1:59" ht="29.5" x14ac:dyDescent="0.4">
      <c r="A97" s="5" t="s">
        <v>739</v>
      </c>
      <c r="B97" s="2" t="s">
        <v>448</v>
      </c>
      <c r="C97" s="2" t="s">
        <v>59</v>
      </c>
      <c r="D97" s="2" t="s">
        <v>261</v>
      </c>
      <c r="E97" s="2" t="s">
        <v>262</v>
      </c>
      <c r="F97" s="2" t="s">
        <v>261</v>
      </c>
      <c r="G97" s="2"/>
      <c r="H97" s="2"/>
      <c r="I97" s="2"/>
      <c r="J97" s="2"/>
      <c r="K97" s="2"/>
      <c r="L97" s="2"/>
      <c r="M97" s="2"/>
      <c r="N97" s="2"/>
      <c r="O97" s="2" t="s">
        <v>449</v>
      </c>
      <c r="P97" s="2" t="s">
        <v>63</v>
      </c>
      <c r="Q97" s="2"/>
      <c r="R97" s="2"/>
      <c r="S97" s="2"/>
      <c r="T97" s="2" t="s">
        <v>450</v>
      </c>
      <c r="U97" s="2" t="s">
        <v>65</v>
      </c>
      <c r="V97" s="2" t="s">
        <v>66</v>
      </c>
      <c r="W97" s="2" t="s">
        <v>66</v>
      </c>
      <c r="X97" s="2" t="s">
        <v>65</v>
      </c>
      <c r="Y97" s="2" t="s">
        <v>451</v>
      </c>
      <c r="Z97" s="2" t="s">
        <v>452</v>
      </c>
      <c r="AA97" s="2" t="s">
        <v>73</v>
      </c>
      <c r="AB97" s="2" t="s">
        <v>70</v>
      </c>
      <c r="AC97" s="2" t="s">
        <v>71</v>
      </c>
      <c r="AD97" s="2" t="s">
        <v>72</v>
      </c>
      <c r="AE97" s="2"/>
      <c r="AF97" s="2"/>
      <c r="AG97" s="2"/>
      <c r="AH97" s="2" t="s">
        <v>453</v>
      </c>
      <c r="AI97" s="2" t="s">
        <v>454</v>
      </c>
      <c r="AJ97" s="2" t="s">
        <v>455</v>
      </c>
      <c r="AK97" s="2" t="s">
        <v>187</v>
      </c>
      <c r="AL97" s="2" t="s">
        <v>546</v>
      </c>
      <c r="AM97" s="2" t="s">
        <v>547</v>
      </c>
      <c r="AN97" s="2" t="s">
        <v>548</v>
      </c>
      <c r="AO97" s="2"/>
      <c r="AP97" s="2" t="s">
        <v>458</v>
      </c>
      <c r="AQ97" s="2" t="s">
        <v>459</v>
      </c>
      <c r="AR97" s="2" t="s">
        <v>460</v>
      </c>
      <c r="AS97" s="2" t="s">
        <v>461</v>
      </c>
      <c r="AT97" s="2"/>
      <c r="AU97" s="2" t="s">
        <v>462</v>
      </c>
      <c r="AV97" s="2" t="s">
        <v>463</v>
      </c>
      <c r="AW97" s="2" t="s">
        <v>162</v>
      </c>
      <c r="AX97" s="2" t="s">
        <v>516</v>
      </c>
      <c r="AY97" s="2"/>
      <c r="AZ97" s="2" t="s">
        <v>497</v>
      </c>
      <c r="BA97" s="2" t="s">
        <v>517</v>
      </c>
      <c r="BB97" s="2" t="s">
        <v>91</v>
      </c>
      <c r="BC97" s="2" t="s">
        <v>524</v>
      </c>
      <c r="BD97" s="2"/>
      <c r="BE97" s="2"/>
      <c r="BF97" s="2"/>
      <c r="BG97" s="2" t="s">
        <v>90</v>
      </c>
    </row>
    <row r="98" spans="1:59" ht="29.5" x14ac:dyDescent="0.4">
      <c r="A98" s="5" t="s">
        <v>739</v>
      </c>
      <c r="B98" s="2" t="s">
        <v>448</v>
      </c>
      <c r="C98" s="2" t="s">
        <v>59</v>
      </c>
      <c r="D98" s="2" t="s">
        <v>261</v>
      </c>
      <c r="E98" s="2" t="s">
        <v>262</v>
      </c>
      <c r="F98" s="2" t="s">
        <v>261</v>
      </c>
      <c r="G98" s="2"/>
      <c r="H98" s="2"/>
      <c r="I98" s="2"/>
      <c r="J98" s="2"/>
      <c r="K98" s="2"/>
      <c r="L98" s="2"/>
      <c r="M98" s="2"/>
      <c r="N98" s="2"/>
      <c r="O98" s="2" t="s">
        <v>449</v>
      </c>
      <c r="P98" s="2" t="s">
        <v>63</v>
      </c>
      <c r="Q98" s="2"/>
      <c r="R98" s="2"/>
      <c r="S98" s="2"/>
      <c r="T98" s="2" t="s">
        <v>450</v>
      </c>
      <c r="U98" s="2" t="s">
        <v>65</v>
      </c>
      <c r="V98" s="2" t="s">
        <v>66</v>
      </c>
      <c r="W98" s="2" t="s">
        <v>66</v>
      </c>
      <c r="X98" s="2" t="s">
        <v>65</v>
      </c>
      <c r="Y98" s="2" t="s">
        <v>451</v>
      </c>
      <c r="Z98" s="2" t="s">
        <v>452</v>
      </c>
      <c r="AA98" s="2" t="s">
        <v>73</v>
      </c>
      <c r="AB98" s="2" t="s">
        <v>70</v>
      </c>
      <c r="AC98" s="2" t="s">
        <v>71</v>
      </c>
      <c r="AD98" s="2" t="s">
        <v>72</v>
      </c>
      <c r="AE98" s="2"/>
      <c r="AF98" s="2"/>
      <c r="AG98" s="2"/>
      <c r="AH98" s="2" t="s">
        <v>453</v>
      </c>
      <c r="AI98" s="2" t="s">
        <v>454</v>
      </c>
      <c r="AJ98" s="2" t="s">
        <v>455</v>
      </c>
      <c r="AK98" s="2" t="s">
        <v>187</v>
      </c>
      <c r="AL98" s="2" t="s">
        <v>546</v>
      </c>
      <c r="AM98" s="2" t="s">
        <v>547</v>
      </c>
      <c r="AN98" s="2" t="s">
        <v>548</v>
      </c>
      <c r="AO98" s="2"/>
      <c r="AP98" s="2" t="s">
        <v>458</v>
      </c>
      <c r="AQ98" s="2" t="s">
        <v>459</v>
      </c>
      <c r="AR98" s="2" t="s">
        <v>460</v>
      </c>
      <c r="AS98" s="2" t="s">
        <v>461</v>
      </c>
      <c r="AT98" s="2"/>
      <c r="AU98" s="2" t="s">
        <v>462</v>
      </c>
      <c r="AV98" s="2" t="s">
        <v>463</v>
      </c>
      <c r="AW98" s="2" t="s">
        <v>178</v>
      </c>
      <c r="AX98" s="2" t="s">
        <v>528</v>
      </c>
      <c r="AY98" s="2"/>
      <c r="AZ98" s="2" t="s">
        <v>508</v>
      </c>
      <c r="BA98" s="2" t="s">
        <v>529</v>
      </c>
      <c r="BB98" s="2" t="s">
        <v>73</v>
      </c>
      <c r="BC98" s="2" t="s">
        <v>558</v>
      </c>
      <c r="BD98" s="2"/>
      <c r="BE98" s="2"/>
      <c r="BF98" s="2"/>
      <c r="BG98" s="2" t="s">
        <v>90</v>
      </c>
    </row>
    <row r="99" spans="1:59" ht="116.5" x14ac:dyDescent="0.4">
      <c r="A99" s="5" t="s">
        <v>739</v>
      </c>
      <c r="B99" s="2" t="s">
        <v>448</v>
      </c>
      <c r="C99" s="2" t="s">
        <v>59</v>
      </c>
      <c r="D99" s="2" t="s">
        <v>261</v>
      </c>
      <c r="E99" s="2" t="s">
        <v>262</v>
      </c>
      <c r="F99" s="2" t="s">
        <v>261</v>
      </c>
      <c r="G99" s="2"/>
      <c r="H99" s="2"/>
      <c r="I99" s="2"/>
      <c r="J99" s="2"/>
      <c r="K99" s="2"/>
      <c r="L99" s="2"/>
      <c r="M99" s="2"/>
      <c r="N99" s="2"/>
      <c r="O99" s="2" t="s">
        <v>449</v>
      </c>
      <c r="P99" s="2" t="s">
        <v>63</v>
      </c>
      <c r="Q99" s="2"/>
      <c r="R99" s="2"/>
      <c r="S99" s="2"/>
      <c r="T99" s="2" t="s">
        <v>450</v>
      </c>
      <c r="U99" s="2" t="s">
        <v>65</v>
      </c>
      <c r="V99" s="2" t="s">
        <v>66</v>
      </c>
      <c r="W99" s="2" t="s">
        <v>66</v>
      </c>
      <c r="X99" s="2" t="s">
        <v>65</v>
      </c>
      <c r="Y99" s="2" t="s">
        <v>451</v>
      </c>
      <c r="Z99" s="2" t="s">
        <v>452</v>
      </c>
      <c r="AA99" s="2" t="s">
        <v>73</v>
      </c>
      <c r="AB99" s="2" t="s">
        <v>70</v>
      </c>
      <c r="AC99" s="2" t="s">
        <v>71</v>
      </c>
      <c r="AD99" s="2" t="s">
        <v>72</v>
      </c>
      <c r="AE99" s="2"/>
      <c r="AF99" s="2"/>
      <c r="AG99" s="2"/>
      <c r="AH99" s="2" t="s">
        <v>453</v>
      </c>
      <c r="AI99" s="2" t="s">
        <v>454</v>
      </c>
      <c r="AJ99" s="2" t="s">
        <v>455</v>
      </c>
      <c r="AK99" s="2" t="s">
        <v>187</v>
      </c>
      <c r="AL99" s="2" t="s">
        <v>546</v>
      </c>
      <c r="AM99" s="2" t="s">
        <v>547</v>
      </c>
      <c r="AN99" s="2" t="s">
        <v>548</v>
      </c>
      <c r="AO99" s="2"/>
      <c r="AP99" s="2" t="s">
        <v>458</v>
      </c>
      <c r="AQ99" s="2" t="s">
        <v>459</v>
      </c>
      <c r="AR99" s="2" t="s">
        <v>460</v>
      </c>
      <c r="AS99" s="2" t="s">
        <v>461</v>
      </c>
      <c r="AT99" s="2"/>
      <c r="AU99" s="2" t="s">
        <v>462</v>
      </c>
      <c r="AV99" s="2" t="s">
        <v>463</v>
      </c>
      <c r="AW99" s="2" t="s">
        <v>97</v>
      </c>
      <c r="AX99" s="2" t="s">
        <v>484</v>
      </c>
      <c r="AY99" s="2"/>
      <c r="AZ99" s="2" t="s">
        <v>485</v>
      </c>
      <c r="BA99" s="2" t="s">
        <v>486</v>
      </c>
      <c r="BB99" s="2" t="s">
        <v>73</v>
      </c>
      <c r="BC99" s="2" t="s">
        <v>487</v>
      </c>
      <c r="BD99" s="2"/>
      <c r="BE99" s="2"/>
      <c r="BF99" s="2"/>
      <c r="BG99" s="2" t="s">
        <v>90</v>
      </c>
    </row>
    <row r="100" spans="1:59" ht="102" x14ac:dyDescent="0.4">
      <c r="A100" s="5" t="s">
        <v>739</v>
      </c>
      <c r="B100" s="2" t="s">
        <v>448</v>
      </c>
      <c r="C100" s="2" t="s">
        <v>59</v>
      </c>
      <c r="D100" s="2" t="s">
        <v>261</v>
      </c>
      <c r="E100" s="2" t="s">
        <v>262</v>
      </c>
      <c r="F100" s="2" t="s">
        <v>261</v>
      </c>
      <c r="G100" s="2"/>
      <c r="H100" s="2"/>
      <c r="I100" s="2"/>
      <c r="J100" s="2"/>
      <c r="K100" s="2"/>
      <c r="L100" s="2"/>
      <c r="M100" s="2"/>
      <c r="N100" s="2"/>
      <c r="O100" s="2" t="s">
        <v>449</v>
      </c>
      <c r="P100" s="2" t="s">
        <v>63</v>
      </c>
      <c r="Q100" s="2"/>
      <c r="R100" s="2"/>
      <c r="S100" s="2"/>
      <c r="T100" s="2" t="s">
        <v>450</v>
      </c>
      <c r="U100" s="2" t="s">
        <v>65</v>
      </c>
      <c r="V100" s="2" t="s">
        <v>66</v>
      </c>
      <c r="W100" s="2" t="s">
        <v>66</v>
      </c>
      <c r="X100" s="2" t="s">
        <v>65</v>
      </c>
      <c r="Y100" s="2" t="s">
        <v>451</v>
      </c>
      <c r="Z100" s="2" t="s">
        <v>452</v>
      </c>
      <c r="AA100" s="2" t="s">
        <v>73</v>
      </c>
      <c r="AB100" s="2" t="s">
        <v>70</v>
      </c>
      <c r="AC100" s="2" t="s">
        <v>71</v>
      </c>
      <c r="AD100" s="2" t="s">
        <v>72</v>
      </c>
      <c r="AE100" s="2"/>
      <c r="AF100" s="2"/>
      <c r="AG100" s="2"/>
      <c r="AH100" s="2" t="s">
        <v>453</v>
      </c>
      <c r="AI100" s="2" t="s">
        <v>454</v>
      </c>
      <c r="AJ100" s="2" t="s">
        <v>455</v>
      </c>
      <c r="AK100" s="2" t="s">
        <v>187</v>
      </c>
      <c r="AL100" s="2" t="s">
        <v>546</v>
      </c>
      <c r="AM100" s="2" t="s">
        <v>547</v>
      </c>
      <c r="AN100" s="2" t="s">
        <v>548</v>
      </c>
      <c r="AO100" s="2"/>
      <c r="AP100" s="2" t="s">
        <v>458</v>
      </c>
      <c r="AQ100" s="2" t="s">
        <v>459</v>
      </c>
      <c r="AR100" s="2" t="s">
        <v>460</v>
      </c>
      <c r="AS100" s="2" t="s">
        <v>461</v>
      </c>
      <c r="AT100" s="2"/>
      <c r="AU100" s="2" t="s">
        <v>462</v>
      </c>
      <c r="AV100" s="2" t="s">
        <v>463</v>
      </c>
      <c r="AW100" s="2" t="s">
        <v>113</v>
      </c>
      <c r="AX100" s="2" t="s">
        <v>488</v>
      </c>
      <c r="AY100" s="2"/>
      <c r="AZ100" s="2" t="s">
        <v>485</v>
      </c>
      <c r="BA100" s="2" t="s">
        <v>486</v>
      </c>
      <c r="BB100" s="2" t="s">
        <v>73</v>
      </c>
      <c r="BC100" s="2" t="s">
        <v>489</v>
      </c>
      <c r="BD100" s="2"/>
      <c r="BE100" s="2"/>
      <c r="BF100" s="2"/>
      <c r="BG100" s="2" t="s">
        <v>90</v>
      </c>
    </row>
    <row r="101" spans="1:59" ht="102" x14ac:dyDescent="0.4">
      <c r="A101" s="5" t="s">
        <v>739</v>
      </c>
      <c r="B101" s="2" t="s">
        <v>448</v>
      </c>
      <c r="C101" s="2" t="s">
        <v>59</v>
      </c>
      <c r="D101" s="2" t="s">
        <v>261</v>
      </c>
      <c r="E101" s="2" t="s">
        <v>262</v>
      </c>
      <c r="F101" s="2" t="s">
        <v>261</v>
      </c>
      <c r="G101" s="2"/>
      <c r="H101" s="2"/>
      <c r="I101" s="2"/>
      <c r="J101" s="2"/>
      <c r="K101" s="2"/>
      <c r="L101" s="2"/>
      <c r="M101" s="2"/>
      <c r="N101" s="2"/>
      <c r="O101" s="2" t="s">
        <v>449</v>
      </c>
      <c r="P101" s="2" t="s">
        <v>63</v>
      </c>
      <c r="Q101" s="2"/>
      <c r="R101" s="2"/>
      <c r="S101" s="2"/>
      <c r="T101" s="2" t="s">
        <v>450</v>
      </c>
      <c r="U101" s="2" t="s">
        <v>65</v>
      </c>
      <c r="V101" s="2" t="s">
        <v>66</v>
      </c>
      <c r="W101" s="2" t="s">
        <v>66</v>
      </c>
      <c r="X101" s="2" t="s">
        <v>65</v>
      </c>
      <c r="Y101" s="2" t="s">
        <v>451</v>
      </c>
      <c r="Z101" s="2" t="s">
        <v>452</v>
      </c>
      <c r="AA101" s="2" t="s">
        <v>73</v>
      </c>
      <c r="AB101" s="2" t="s">
        <v>70</v>
      </c>
      <c r="AC101" s="2" t="s">
        <v>71</v>
      </c>
      <c r="AD101" s="2" t="s">
        <v>72</v>
      </c>
      <c r="AE101" s="2"/>
      <c r="AF101" s="2"/>
      <c r="AG101" s="2"/>
      <c r="AH101" s="2" t="s">
        <v>453</v>
      </c>
      <c r="AI101" s="2" t="s">
        <v>454</v>
      </c>
      <c r="AJ101" s="2" t="s">
        <v>455</v>
      </c>
      <c r="AK101" s="2" t="s">
        <v>187</v>
      </c>
      <c r="AL101" s="2" t="s">
        <v>546</v>
      </c>
      <c r="AM101" s="2" t="s">
        <v>547</v>
      </c>
      <c r="AN101" s="2" t="s">
        <v>548</v>
      </c>
      <c r="AO101" s="2"/>
      <c r="AP101" s="2" t="s">
        <v>458</v>
      </c>
      <c r="AQ101" s="2" t="s">
        <v>459</v>
      </c>
      <c r="AR101" s="2" t="s">
        <v>460</v>
      </c>
      <c r="AS101" s="2" t="s">
        <v>461</v>
      </c>
      <c r="AT101" s="2"/>
      <c r="AU101" s="2" t="s">
        <v>462</v>
      </c>
      <c r="AV101" s="2" t="s">
        <v>463</v>
      </c>
      <c r="AW101" s="2" t="s">
        <v>285</v>
      </c>
      <c r="AX101" s="2" t="s">
        <v>490</v>
      </c>
      <c r="AY101" s="2"/>
      <c r="AZ101" s="2" t="s">
        <v>485</v>
      </c>
      <c r="BA101" s="2" t="s">
        <v>486</v>
      </c>
      <c r="BB101" s="2" t="s">
        <v>91</v>
      </c>
      <c r="BC101" s="2" t="s">
        <v>492</v>
      </c>
      <c r="BD101" s="2"/>
      <c r="BE101" s="2"/>
      <c r="BF101" s="2"/>
      <c r="BG101" s="2" t="s">
        <v>90</v>
      </c>
    </row>
    <row r="102" spans="1:59" ht="102" x14ac:dyDescent="0.4">
      <c r="A102" s="5" t="s">
        <v>739</v>
      </c>
      <c r="B102" s="2" t="s">
        <v>448</v>
      </c>
      <c r="C102" s="2" t="s">
        <v>59</v>
      </c>
      <c r="D102" s="2" t="s">
        <v>261</v>
      </c>
      <c r="E102" s="2" t="s">
        <v>262</v>
      </c>
      <c r="F102" s="2" t="s">
        <v>261</v>
      </c>
      <c r="G102" s="2"/>
      <c r="H102" s="2"/>
      <c r="I102" s="2"/>
      <c r="J102" s="2"/>
      <c r="K102" s="2"/>
      <c r="L102" s="2"/>
      <c r="M102" s="2"/>
      <c r="N102" s="2"/>
      <c r="O102" s="2" t="s">
        <v>449</v>
      </c>
      <c r="P102" s="2" t="s">
        <v>63</v>
      </c>
      <c r="Q102" s="2"/>
      <c r="R102" s="2"/>
      <c r="S102" s="2"/>
      <c r="T102" s="2" t="s">
        <v>450</v>
      </c>
      <c r="U102" s="2" t="s">
        <v>65</v>
      </c>
      <c r="V102" s="2" t="s">
        <v>66</v>
      </c>
      <c r="W102" s="2" t="s">
        <v>66</v>
      </c>
      <c r="X102" s="2" t="s">
        <v>65</v>
      </c>
      <c r="Y102" s="2" t="s">
        <v>451</v>
      </c>
      <c r="Z102" s="2" t="s">
        <v>452</v>
      </c>
      <c r="AA102" s="2" t="s">
        <v>73</v>
      </c>
      <c r="AB102" s="2" t="s">
        <v>70</v>
      </c>
      <c r="AC102" s="2" t="s">
        <v>71</v>
      </c>
      <c r="AD102" s="2" t="s">
        <v>72</v>
      </c>
      <c r="AE102" s="2"/>
      <c r="AF102" s="2"/>
      <c r="AG102" s="2"/>
      <c r="AH102" s="2" t="s">
        <v>453</v>
      </c>
      <c r="AI102" s="2" t="s">
        <v>454</v>
      </c>
      <c r="AJ102" s="2" t="s">
        <v>455</v>
      </c>
      <c r="AK102" s="2" t="s">
        <v>187</v>
      </c>
      <c r="AL102" s="2" t="s">
        <v>546</v>
      </c>
      <c r="AM102" s="2" t="s">
        <v>547</v>
      </c>
      <c r="AN102" s="2" t="s">
        <v>548</v>
      </c>
      <c r="AO102" s="2"/>
      <c r="AP102" s="2" t="s">
        <v>458</v>
      </c>
      <c r="AQ102" s="2" t="s">
        <v>459</v>
      </c>
      <c r="AR102" s="2" t="s">
        <v>460</v>
      </c>
      <c r="AS102" s="2" t="s">
        <v>461</v>
      </c>
      <c r="AT102" s="2"/>
      <c r="AU102" s="2" t="s">
        <v>462</v>
      </c>
      <c r="AV102" s="2" t="s">
        <v>463</v>
      </c>
      <c r="AW102" s="2" t="s">
        <v>333</v>
      </c>
      <c r="AX102" s="2" t="s">
        <v>496</v>
      </c>
      <c r="AY102" s="2"/>
      <c r="AZ102" s="2" t="s">
        <v>497</v>
      </c>
      <c r="BA102" s="2" t="s">
        <v>498</v>
      </c>
      <c r="BB102" s="2" t="s">
        <v>73</v>
      </c>
      <c r="BC102" s="2" t="s">
        <v>499</v>
      </c>
      <c r="BD102" s="2"/>
      <c r="BE102" s="2"/>
      <c r="BF102" s="2"/>
      <c r="BG102" s="2" t="s">
        <v>90</v>
      </c>
    </row>
    <row r="103" spans="1:59" ht="116.5" x14ac:dyDescent="0.4">
      <c r="A103" s="5" t="s">
        <v>739</v>
      </c>
      <c r="B103" s="2" t="s">
        <v>448</v>
      </c>
      <c r="C103" s="2" t="s">
        <v>59</v>
      </c>
      <c r="D103" s="2" t="s">
        <v>261</v>
      </c>
      <c r="E103" s="2" t="s">
        <v>262</v>
      </c>
      <c r="F103" s="2" t="s">
        <v>261</v>
      </c>
      <c r="G103" s="2"/>
      <c r="H103" s="2"/>
      <c r="I103" s="2"/>
      <c r="J103" s="2"/>
      <c r="K103" s="2"/>
      <c r="L103" s="2"/>
      <c r="M103" s="2"/>
      <c r="N103" s="2"/>
      <c r="O103" s="2" t="s">
        <v>449</v>
      </c>
      <c r="P103" s="2" t="s">
        <v>63</v>
      </c>
      <c r="Q103" s="2"/>
      <c r="R103" s="2"/>
      <c r="S103" s="2"/>
      <c r="T103" s="2" t="s">
        <v>450</v>
      </c>
      <c r="U103" s="2" t="s">
        <v>65</v>
      </c>
      <c r="V103" s="2" t="s">
        <v>66</v>
      </c>
      <c r="W103" s="2" t="s">
        <v>66</v>
      </c>
      <c r="X103" s="2" t="s">
        <v>65</v>
      </c>
      <c r="Y103" s="2" t="s">
        <v>451</v>
      </c>
      <c r="Z103" s="2" t="s">
        <v>452</v>
      </c>
      <c r="AA103" s="2" t="s">
        <v>73</v>
      </c>
      <c r="AB103" s="2" t="s">
        <v>70</v>
      </c>
      <c r="AC103" s="2" t="s">
        <v>71</v>
      </c>
      <c r="AD103" s="2" t="s">
        <v>72</v>
      </c>
      <c r="AE103" s="2"/>
      <c r="AF103" s="2"/>
      <c r="AG103" s="2"/>
      <c r="AH103" s="2" t="s">
        <v>453</v>
      </c>
      <c r="AI103" s="2" t="s">
        <v>454</v>
      </c>
      <c r="AJ103" s="2" t="s">
        <v>455</v>
      </c>
      <c r="AK103" s="2" t="s">
        <v>187</v>
      </c>
      <c r="AL103" s="2" t="s">
        <v>546</v>
      </c>
      <c r="AM103" s="2" t="s">
        <v>547</v>
      </c>
      <c r="AN103" s="2" t="s">
        <v>548</v>
      </c>
      <c r="AO103" s="2"/>
      <c r="AP103" s="2" t="s">
        <v>458</v>
      </c>
      <c r="AQ103" s="2" t="s">
        <v>459</v>
      </c>
      <c r="AR103" s="2" t="s">
        <v>460</v>
      </c>
      <c r="AS103" s="2" t="s">
        <v>461</v>
      </c>
      <c r="AT103" s="2"/>
      <c r="AU103" s="2" t="s">
        <v>462</v>
      </c>
      <c r="AV103" s="2" t="s">
        <v>463</v>
      </c>
      <c r="AW103" s="2" t="s">
        <v>493</v>
      </c>
      <c r="AX103" s="2" t="s">
        <v>501</v>
      </c>
      <c r="AY103" s="2"/>
      <c r="AZ103" s="2" t="s">
        <v>502</v>
      </c>
      <c r="BA103" s="2" t="s">
        <v>503</v>
      </c>
      <c r="BB103" s="2" t="s">
        <v>91</v>
      </c>
      <c r="BC103" s="2" t="s">
        <v>559</v>
      </c>
      <c r="BD103" s="2"/>
      <c r="BE103" s="2"/>
      <c r="BF103" s="2"/>
      <c r="BG103" s="2" t="s">
        <v>90</v>
      </c>
    </row>
    <row r="104" spans="1:59" ht="116.5" x14ac:dyDescent="0.4">
      <c r="A104" s="5" t="s">
        <v>739</v>
      </c>
      <c r="B104" s="2" t="s">
        <v>448</v>
      </c>
      <c r="C104" s="2" t="s">
        <v>59</v>
      </c>
      <c r="D104" s="2" t="s">
        <v>261</v>
      </c>
      <c r="E104" s="2" t="s">
        <v>262</v>
      </c>
      <c r="F104" s="2" t="s">
        <v>261</v>
      </c>
      <c r="G104" s="2"/>
      <c r="H104" s="2"/>
      <c r="I104" s="2"/>
      <c r="J104" s="2"/>
      <c r="K104" s="2"/>
      <c r="L104" s="2"/>
      <c r="M104" s="2"/>
      <c r="N104" s="2"/>
      <c r="O104" s="2" t="s">
        <v>449</v>
      </c>
      <c r="P104" s="2" t="s">
        <v>63</v>
      </c>
      <c r="Q104" s="2"/>
      <c r="R104" s="2"/>
      <c r="S104" s="2"/>
      <c r="T104" s="2" t="s">
        <v>450</v>
      </c>
      <c r="U104" s="2" t="s">
        <v>65</v>
      </c>
      <c r="V104" s="2" t="s">
        <v>66</v>
      </c>
      <c r="W104" s="2" t="s">
        <v>66</v>
      </c>
      <c r="X104" s="2" t="s">
        <v>65</v>
      </c>
      <c r="Y104" s="2" t="s">
        <v>451</v>
      </c>
      <c r="Z104" s="2" t="s">
        <v>452</v>
      </c>
      <c r="AA104" s="2" t="s">
        <v>73</v>
      </c>
      <c r="AB104" s="2" t="s">
        <v>70</v>
      </c>
      <c r="AC104" s="2" t="s">
        <v>71</v>
      </c>
      <c r="AD104" s="2" t="s">
        <v>72</v>
      </c>
      <c r="AE104" s="2"/>
      <c r="AF104" s="2"/>
      <c r="AG104" s="2"/>
      <c r="AH104" s="2" t="s">
        <v>453</v>
      </c>
      <c r="AI104" s="2" t="s">
        <v>454</v>
      </c>
      <c r="AJ104" s="2" t="s">
        <v>455</v>
      </c>
      <c r="AK104" s="2" t="s">
        <v>187</v>
      </c>
      <c r="AL104" s="2" t="s">
        <v>560</v>
      </c>
      <c r="AM104" s="2" t="s">
        <v>561</v>
      </c>
      <c r="AN104" s="2" t="s">
        <v>562</v>
      </c>
      <c r="AO104" s="2"/>
      <c r="AP104" s="2" t="s">
        <v>458</v>
      </c>
      <c r="AQ104" s="2" t="s">
        <v>459</v>
      </c>
      <c r="AR104" s="2" t="s">
        <v>460</v>
      </c>
      <c r="AS104" s="2" t="s">
        <v>461</v>
      </c>
      <c r="AT104" s="2"/>
      <c r="AU104" s="2" t="s">
        <v>462</v>
      </c>
      <c r="AV104" s="2" t="s">
        <v>463</v>
      </c>
      <c r="AW104" s="2" t="s">
        <v>73</v>
      </c>
      <c r="AX104" s="2" t="s">
        <v>554</v>
      </c>
      <c r="AY104" s="2"/>
      <c r="AZ104" s="2" t="s">
        <v>555</v>
      </c>
      <c r="BA104" s="2" t="s">
        <v>556</v>
      </c>
      <c r="BB104" s="2" t="s">
        <v>73</v>
      </c>
      <c r="BC104" s="2" t="s">
        <v>563</v>
      </c>
      <c r="BD104" s="2"/>
      <c r="BE104" s="2"/>
      <c r="BF104" s="2"/>
      <c r="BG104" s="2" t="s">
        <v>90</v>
      </c>
    </row>
    <row r="105" spans="1:59" ht="29.5" x14ac:dyDescent="0.4">
      <c r="A105" s="5" t="s">
        <v>739</v>
      </c>
      <c r="B105" s="2" t="s">
        <v>448</v>
      </c>
      <c r="C105" s="2" t="s">
        <v>59</v>
      </c>
      <c r="D105" s="2" t="s">
        <v>261</v>
      </c>
      <c r="E105" s="2" t="s">
        <v>262</v>
      </c>
      <c r="F105" s="2" t="s">
        <v>261</v>
      </c>
      <c r="G105" s="2"/>
      <c r="H105" s="2"/>
      <c r="I105" s="2"/>
      <c r="J105" s="2"/>
      <c r="K105" s="2"/>
      <c r="L105" s="2"/>
      <c r="M105" s="2"/>
      <c r="N105" s="2"/>
      <c r="O105" s="2" t="s">
        <v>449</v>
      </c>
      <c r="P105" s="2" t="s">
        <v>63</v>
      </c>
      <c r="Q105" s="2"/>
      <c r="R105" s="2"/>
      <c r="S105" s="2"/>
      <c r="T105" s="2" t="s">
        <v>450</v>
      </c>
      <c r="U105" s="2" t="s">
        <v>65</v>
      </c>
      <c r="V105" s="2" t="s">
        <v>66</v>
      </c>
      <c r="W105" s="2" t="s">
        <v>66</v>
      </c>
      <c r="X105" s="2" t="s">
        <v>65</v>
      </c>
      <c r="Y105" s="2" t="s">
        <v>451</v>
      </c>
      <c r="Z105" s="2" t="s">
        <v>452</v>
      </c>
      <c r="AA105" s="2" t="s">
        <v>73</v>
      </c>
      <c r="AB105" s="2" t="s">
        <v>70</v>
      </c>
      <c r="AC105" s="2" t="s">
        <v>71</v>
      </c>
      <c r="AD105" s="2" t="s">
        <v>72</v>
      </c>
      <c r="AE105" s="2"/>
      <c r="AF105" s="2"/>
      <c r="AG105" s="2"/>
      <c r="AH105" s="2" t="s">
        <v>453</v>
      </c>
      <c r="AI105" s="2" t="s">
        <v>454</v>
      </c>
      <c r="AJ105" s="2" t="s">
        <v>455</v>
      </c>
      <c r="AK105" s="2" t="s">
        <v>187</v>
      </c>
      <c r="AL105" s="2" t="s">
        <v>560</v>
      </c>
      <c r="AM105" s="2" t="s">
        <v>561</v>
      </c>
      <c r="AN105" s="2" t="s">
        <v>562</v>
      </c>
      <c r="AO105" s="2"/>
      <c r="AP105" s="2" t="s">
        <v>458</v>
      </c>
      <c r="AQ105" s="2" t="s">
        <v>459</v>
      </c>
      <c r="AR105" s="2" t="s">
        <v>460</v>
      </c>
      <c r="AS105" s="2" t="s">
        <v>461</v>
      </c>
      <c r="AT105" s="2"/>
      <c r="AU105" s="2" t="s">
        <v>462</v>
      </c>
      <c r="AV105" s="2" t="s">
        <v>463</v>
      </c>
      <c r="AW105" s="2" t="s">
        <v>91</v>
      </c>
      <c r="AX105" s="2" t="s">
        <v>516</v>
      </c>
      <c r="AY105" s="2"/>
      <c r="AZ105" s="2" t="s">
        <v>497</v>
      </c>
      <c r="BA105" s="2" t="s">
        <v>517</v>
      </c>
      <c r="BB105" s="2" t="s">
        <v>88</v>
      </c>
      <c r="BC105" s="2" t="s">
        <v>564</v>
      </c>
      <c r="BD105" s="2"/>
      <c r="BE105" s="2"/>
      <c r="BF105" s="2"/>
      <c r="BG105" s="2" t="s">
        <v>90</v>
      </c>
    </row>
    <row r="106" spans="1:59" ht="29.5" x14ac:dyDescent="0.4">
      <c r="A106" s="5" t="s">
        <v>739</v>
      </c>
      <c r="B106" s="2" t="s">
        <v>448</v>
      </c>
      <c r="C106" s="2" t="s">
        <v>59</v>
      </c>
      <c r="D106" s="2" t="s">
        <v>261</v>
      </c>
      <c r="E106" s="2" t="s">
        <v>262</v>
      </c>
      <c r="F106" s="2" t="s">
        <v>261</v>
      </c>
      <c r="G106" s="2"/>
      <c r="H106" s="2"/>
      <c r="I106" s="2"/>
      <c r="J106" s="2"/>
      <c r="K106" s="2"/>
      <c r="L106" s="2"/>
      <c r="M106" s="2"/>
      <c r="N106" s="2"/>
      <c r="O106" s="2" t="s">
        <v>449</v>
      </c>
      <c r="P106" s="2" t="s">
        <v>63</v>
      </c>
      <c r="Q106" s="2"/>
      <c r="R106" s="2"/>
      <c r="S106" s="2"/>
      <c r="T106" s="2" t="s">
        <v>450</v>
      </c>
      <c r="U106" s="2" t="s">
        <v>65</v>
      </c>
      <c r="V106" s="2" t="s">
        <v>66</v>
      </c>
      <c r="W106" s="2" t="s">
        <v>66</v>
      </c>
      <c r="X106" s="2" t="s">
        <v>65</v>
      </c>
      <c r="Y106" s="2" t="s">
        <v>451</v>
      </c>
      <c r="Z106" s="2" t="s">
        <v>452</v>
      </c>
      <c r="AA106" s="2" t="s">
        <v>73</v>
      </c>
      <c r="AB106" s="2" t="s">
        <v>70</v>
      </c>
      <c r="AC106" s="2" t="s">
        <v>71</v>
      </c>
      <c r="AD106" s="2" t="s">
        <v>72</v>
      </c>
      <c r="AE106" s="2"/>
      <c r="AF106" s="2"/>
      <c r="AG106" s="2"/>
      <c r="AH106" s="2" t="s">
        <v>453</v>
      </c>
      <c r="AI106" s="2" t="s">
        <v>454</v>
      </c>
      <c r="AJ106" s="2" t="s">
        <v>455</v>
      </c>
      <c r="AK106" s="2" t="s">
        <v>187</v>
      </c>
      <c r="AL106" s="2" t="s">
        <v>560</v>
      </c>
      <c r="AM106" s="2" t="s">
        <v>561</v>
      </c>
      <c r="AN106" s="2" t="s">
        <v>562</v>
      </c>
      <c r="AO106" s="2"/>
      <c r="AP106" s="2" t="s">
        <v>458</v>
      </c>
      <c r="AQ106" s="2" t="s">
        <v>459</v>
      </c>
      <c r="AR106" s="2" t="s">
        <v>460</v>
      </c>
      <c r="AS106" s="2" t="s">
        <v>461</v>
      </c>
      <c r="AT106" s="2"/>
      <c r="AU106" s="2" t="s">
        <v>462</v>
      </c>
      <c r="AV106" s="2" t="s">
        <v>463</v>
      </c>
      <c r="AW106" s="2" t="s">
        <v>88</v>
      </c>
      <c r="AX106" s="2" t="s">
        <v>516</v>
      </c>
      <c r="AY106" s="2"/>
      <c r="AZ106" s="2" t="s">
        <v>497</v>
      </c>
      <c r="BA106" s="2" t="s">
        <v>517</v>
      </c>
      <c r="BB106" s="2" t="s">
        <v>88</v>
      </c>
      <c r="BC106" s="2" t="s">
        <v>564</v>
      </c>
      <c r="BD106" s="2"/>
      <c r="BE106" s="2"/>
      <c r="BF106" s="2"/>
      <c r="BG106" s="2" t="s">
        <v>90</v>
      </c>
    </row>
    <row r="107" spans="1:59" ht="29.5" x14ac:dyDescent="0.4">
      <c r="A107" s="5" t="s">
        <v>739</v>
      </c>
      <c r="B107" s="2" t="s">
        <v>448</v>
      </c>
      <c r="C107" s="2" t="s">
        <v>59</v>
      </c>
      <c r="D107" s="2" t="s">
        <v>261</v>
      </c>
      <c r="E107" s="2" t="s">
        <v>262</v>
      </c>
      <c r="F107" s="2" t="s">
        <v>261</v>
      </c>
      <c r="G107" s="2"/>
      <c r="H107" s="2"/>
      <c r="I107" s="2"/>
      <c r="J107" s="2"/>
      <c r="K107" s="2"/>
      <c r="L107" s="2"/>
      <c r="M107" s="2"/>
      <c r="N107" s="2"/>
      <c r="O107" s="2" t="s">
        <v>449</v>
      </c>
      <c r="P107" s="2" t="s">
        <v>63</v>
      </c>
      <c r="Q107" s="2"/>
      <c r="R107" s="2"/>
      <c r="S107" s="2"/>
      <c r="T107" s="2" t="s">
        <v>450</v>
      </c>
      <c r="U107" s="2" t="s">
        <v>65</v>
      </c>
      <c r="V107" s="2" t="s">
        <v>66</v>
      </c>
      <c r="W107" s="2" t="s">
        <v>66</v>
      </c>
      <c r="X107" s="2" t="s">
        <v>65</v>
      </c>
      <c r="Y107" s="2" t="s">
        <v>451</v>
      </c>
      <c r="Z107" s="2" t="s">
        <v>452</v>
      </c>
      <c r="AA107" s="2" t="s">
        <v>73</v>
      </c>
      <c r="AB107" s="2" t="s">
        <v>70</v>
      </c>
      <c r="AC107" s="2" t="s">
        <v>71</v>
      </c>
      <c r="AD107" s="2" t="s">
        <v>72</v>
      </c>
      <c r="AE107" s="2"/>
      <c r="AF107" s="2"/>
      <c r="AG107" s="2"/>
      <c r="AH107" s="2" t="s">
        <v>453</v>
      </c>
      <c r="AI107" s="2" t="s">
        <v>454</v>
      </c>
      <c r="AJ107" s="2" t="s">
        <v>455</v>
      </c>
      <c r="AK107" s="2" t="s">
        <v>187</v>
      </c>
      <c r="AL107" s="2" t="s">
        <v>560</v>
      </c>
      <c r="AM107" s="2" t="s">
        <v>561</v>
      </c>
      <c r="AN107" s="2" t="s">
        <v>562</v>
      </c>
      <c r="AO107" s="2"/>
      <c r="AP107" s="2" t="s">
        <v>458</v>
      </c>
      <c r="AQ107" s="2" t="s">
        <v>459</v>
      </c>
      <c r="AR107" s="2" t="s">
        <v>460</v>
      </c>
      <c r="AS107" s="2" t="s">
        <v>461</v>
      </c>
      <c r="AT107" s="2"/>
      <c r="AU107" s="2" t="s">
        <v>462</v>
      </c>
      <c r="AV107" s="2" t="s">
        <v>463</v>
      </c>
      <c r="AW107" s="2" t="s">
        <v>143</v>
      </c>
      <c r="AX107" s="2" t="s">
        <v>516</v>
      </c>
      <c r="AY107" s="2"/>
      <c r="AZ107" s="2" t="s">
        <v>497</v>
      </c>
      <c r="BA107" s="2" t="s">
        <v>517</v>
      </c>
      <c r="BB107" s="2" t="s">
        <v>143</v>
      </c>
      <c r="BC107" s="2" t="s">
        <v>565</v>
      </c>
      <c r="BD107" s="2"/>
      <c r="BE107" s="2"/>
      <c r="BF107" s="2"/>
      <c r="BG107" s="2" t="s">
        <v>90</v>
      </c>
    </row>
    <row r="108" spans="1:59" ht="29.5" x14ac:dyDescent="0.4">
      <c r="A108" s="5" t="s">
        <v>739</v>
      </c>
      <c r="B108" s="2" t="s">
        <v>448</v>
      </c>
      <c r="C108" s="2" t="s">
        <v>59</v>
      </c>
      <c r="D108" s="2" t="s">
        <v>261</v>
      </c>
      <c r="E108" s="2" t="s">
        <v>262</v>
      </c>
      <c r="F108" s="2" t="s">
        <v>261</v>
      </c>
      <c r="G108" s="2"/>
      <c r="H108" s="2"/>
      <c r="I108" s="2"/>
      <c r="J108" s="2"/>
      <c r="K108" s="2"/>
      <c r="L108" s="2"/>
      <c r="M108" s="2"/>
      <c r="N108" s="2"/>
      <c r="O108" s="2" t="s">
        <v>449</v>
      </c>
      <c r="P108" s="2" t="s">
        <v>63</v>
      </c>
      <c r="Q108" s="2"/>
      <c r="R108" s="2"/>
      <c r="S108" s="2"/>
      <c r="T108" s="2" t="s">
        <v>450</v>
      </c>
      <c r="U108" s="2" t="s">
        <v>65</v>
      </c>
      <c r="V108" s="2" t="s">
        <v>66</v>
      </c>
      <c r="W108" s="2" t="s">
        <v>66</v>
      </c>
      <c r="X108" s="2" t="s">
        <v>65</v>
      </c>
      <c r="Y108" s="2" t="s">
        <v>451</v>
      </c>
      <c r="Z108" s="2" t="s">
        <v>452</v>
      </c>
      <c r="AA108" s="2" t="s">
        <v>91</v>
      </c>
      <c r="AB108" s="2" t="s">
        <v>70</v>
      </c>
      <c r="AC108" s="2" t="s">
        <v>71</v>
      </c>
      <c r="AD108" s="2" t="s">
        <v>72</v>
      </c>
      <c r="AE108" s="2"/>
      <c r="AF108" s="2"/>
      <c r="AG108" s="2"/>
      <c r="AH108" s="2" t="s">
        <v>88</v>
      </c>
      <c r="AI108" s="2" t="s">
        <v>454</v>
      </c>
      <c r="AJ108" s="2" t="s">
        <v>566</v>
      </c>
      <c r="AK108" s="2" t="s">
        <v>250</v>
      </c>
      <c r="AL108" s="2" t="s">
        <v>567</v>
      </c>
      <c r="AM108" s="2" t="s">
        <v>250</v>
      </c>
      <c r="AN108" s="2" t="s">
        <v>328</v>
      </c>
      <c r="AO108" s="2"/>
      <c r="AP108" s="2"/>
      <c r="AQ108" s="2" t="s">
        <v>318</v>
      </c>
      <c r="AR108" s="2" t="s">
        <v>319</v>
      </c>
      <c r="AS108" s="2" t="s">
        <v>567</v>
      </c>
      <c r="AT108" s="2"/>
      <c r="AU108" s="2" t="s">
        <v>329</v>
      </c>
      <c r="AV108" s="2" t="s">
        <v>330</v>
      </c>
      <c r="AW108" s="2" t="s">
        <v>73</v>
      </c>
      <c r="AX108" s="2" t="s">
        <v>331</v>
      </c>
      <c r="AY108" s="2"/>
      <c r="AZ108" s="2" t="s">
        <v>324</v>
      </c>
      <c r="BA108" s="2" t="s">
        <v>325</v>
      </c>
      <c r="BB108" s="2" t="s">
        <v>329</v>
      </c>
      <c r="BC108" s="2" t="s">
        <v>332</v>
      </c>
      <c r="BD108" s="2"/>
      <c r="BE108" s="2"/>
      <c r="BF108" s="2"/>
      <c r="BG108" s="2" t="s">
        <v>90</v>
      </c>
    </row>
    <row r="109" spans="1:59" ht="43.5" x14ac:dyDescent="0.35">
      <c r="A109" s="6" t="s">
        <v>740</v>
      </c>
      <c r="B109" s="2" t="s">
        <v>568</v>
      </c>
      <c r="C109" s="2" t="s">
        <v>59</v>
      </c>
      <c r="D109" s="2" t="s">
        <v>201</v>
      </c>
      <c r="E109" s="2" t="s">
        <v>202</v>
      </c>
      <c r="F109" s="2" t="s">
        <v>201</v>
      </c>
      <c r="G109" s="2"/>
      <c r="H109" s="2"/>
      <c r="I109" s="2"/>
      <c r="J109" s="2"/>
      <c r="K109" s="2"/>
      <c r="L109" s="2"/>
      <c r="M109" s="2"/>
      <c r="N109" s="2"/>
      <c r="O109" s="2" t="s">
        <v>569</v>
      </c>
      <c r="P109" s="2" t="s">
        <v>63</v>
      </c>
      <c r="Q109" s="2"/>
      <c r="R109" s="2"/>
      <c r="S109" s="2"/>
      <c r="T109" s="2" t="s">
        <v>570</v>
      </c>
      <c r="U109" s="2" t="s">
        <v>65</v>
      </c>
      <c r="V109" s="2" t="s">
        <v>66</v>
      </c>
      <c r="W109" s="2" t="s">
        <v>66</v>
      </c>
      <c r="X109" s="2" t="s">
        <v>65</v>
      </c>
      <c r="Y109" s="2" t="s">
        <v>571</v>
      </c>
      <c r="Z109" s="2" t="s">
        <v>572</v>
      </c>
      <c r="AA109" s="2" t="s">
        <v>73</v>
      </c>
      <c r="AB109" s="2" t="s">
        <v>573</v>
      </c>
      <c r="AC109" s="2" t="s">
        <v>71</v>
      </c>
      <c r="AD109" s="2" t="s">
        <v>72</v>
      </c>
      <c r="AE109" s="2"/>
      <c r="AF109" s="2"/>
      <c r="AG109" s="2"/>
      <c r="AH109" s="2" t="s">
        <v>91</v>
      </c>
      <c r="AI109" s="2" t="s">
        <v>574</v>
      </c>
      <c r="AJ109" s="2" t="s">
        <v>575</v>
      </c>
      <c r="AK109" s="2" t="s">
        <v>569</v>
      </c>
      <c r="AL109" s="2" t="s">
        <v>576</v>
      </c>
      <c r="AM109" s="2" t="s">
        <v>569</v>
      </c>
      <c r="AN109" s="2" t="s">
        <v>577</v>
      </c>
      <c r="AO109" s="2"/>
      <c r="AP109" s="2"/>
      <c r="AQ109" s="2" t="s">
        <v>459</v>
      </c>
      <c r="AR109" s="2" t="s">
        <v>460</v>
      </c>
      <c r="AS109" s="2" t="s">
        <v>578</v>
      </c>
      <c r="AT109" s="2"/>
      <c r="AU109" s="2" t="s">
        <v>151</v>
      </c>
      <c r="AV109" s="2" t="s">
        <v>152</v>
      </c>
      <c r="AW109" s="2" t="s">
        <v>73</v>
      </c>
      <c r="AX109" s="2" t="s">
        <v>579</v>
      </c>
      <c r="AY109" s="2"/>
      <c r="AZ109" s="2" t="s">
        <v>580</v>
      </c>
      <c r="BA109" s="2" t="s">
        <v>581</v>
      </c>
      <c r="BB109" s="2" t="s">
        <v>73</v>
      </c>
      <c r="BC109" s="2" t="s">
        <v>582</v>
      </c>
      <c r="BD109" s="2"/>
      <c r="BE109" s="2"/>
      <c r="BF109" s="2"/>
      <c r="BG109" s="2" t="s">
        <v>90</v>
      </c>
    </row>
    <row r="110" spans="1:59" ht="29" x14ac:dyDescent="0.35">
      <c r="A110" s="7" t="s">
        <v>741</v>
      </c>
      <c r="B110" s="2" t="s">
        <v>583</v>
      </c>
      <c r="C110" s="2" t="s">
        <v>59</v>
      </c>
      <c r="D110" s="2" t="s">
        <v>241</v>
      </c>
      <c r="E110" s="2" t="s">
        <v>242</v>
      </c>
      <c r="F110" s="2" t="s">
        <v>241</v>
      </c>
      <c r="G110" s="2"/>
      <c r="H110" s="2"/>
      <c r="I110" s="2"/>
      <c r="J110" s="2"/>
      <c r="K110" s="2"/>
      <c r="L110" s="2"/>
      <c r="M110" s="2"/>
      <c r="N110" s="2"/>
      <c r="O110" s="2" t="s">
        <v>584</v>
      </c>
      <c r="P110" s="2" t="s">
        <v>63</v>
      </c>
      <c r="Q110" s="2"/>
      <c r="R110" s="2"/>
      <c r="S110" s="2"/>
      <c r="T110" s="2" t="s">
        <v>585</v>
      </c>
      <c r="U110" s="2" t="s">
        <v>65</v>
      </c>
      <c r="V110" s="2" t="s">
        <v>66</v>
      </c>
      <c r="W110" s="2" t="s">
        <v>66</v>
      </c>
      <c r="X110" s="2" t="s">
        <v>65</v>
      </c>
      <c r="Y110" s="2" t="s">
        <v>586</v>
      </c>
      <c r="Z110" s="2" t="s">
        <v>587</v>
      </c>
      <c r="AA110" s="2" t="s">
        <v>73</v>
      </c>
      <c r="AB110" s="2" t="s">
        <v>70</v>
      </c>
      <c r="AC110" s="2" t="s">
        <v>588</v>
      </c>
      <c r="AD110" s="2" t="s">
        <v>72</v>
      </c>
      <c r="AE110" s="2"/>
      <c r="AF110" s="2"/>
      <c r="AG110" s="2"/>
      <c r="AH110" s="2" t="s">
        <v>73</v>
      </c>
      <c r="AI110" s="2" t="s">
        <v>589</v>
      </c>
      <c r="AJ110" s="2" t="s">
        <v>590</v>
      </c>
      <c r="AK110" s="2" t="s">
        <v>584</v>
      </c>
      <c r="AL110" s="2" t="s">
        <v>591</v>
      </c>
      <c r="AM110" s="2" t="s">
        <v>115</v>
      </c>
      <c r="AN110" s="2" t="s">
        <v>592</v>
      </c>
      <c r="AO110" s="2"/>
      <c r="AP110" s="2"/>
      <c r="AQ110" s="2" t="s">
        <v>593</v>
      </c>
      <c r="AR110" s="2" t="s">
        <v>594</v>
      </c>
      <c r="AS110" s="2" t="s">
        <v>595</v>
      </c>
      <c r="AT110" s="2"/>
      <c r="AU110" s="2" t="s">
        <v>537</v>
      </c>
      <c r="AV110" s="2" t="s">
        <v>596</v>
      </c>
      <c r="AW110" s="2" t="s">
        <v>73</v>
      </c>
      <c r="AX110" s="2" t="s">
        <v>597</v>
      </c>
      <c r="AY110" s="2" t="s">
        <v>598</v>
      </c>
      <c r="AZ110" s="2" t="s">
        <v>86</v>
      </c>
      <c r="BA110" s="2" t="s">
        <v>599</v>
      </c>
      <c r="BB110" s="2" t="s">
        <v>69</v>
      </c>
      <c r="BC110" s="2" t="s">
        <v>600</v>
      </c>
      <c r="BD110" s="2"/>
      <c r="BE110" s="2"/>
      <c r="BF110" s="2"/>
      <c r="BG110" s="2" t="s">
        <v>90</v>
      </c>
    </row>
    <row r="111" spans="1:59" ht="29.5" x14ac:dyDescent="0.4">
      <c r="A111" s="5" t="s">
        <v>742</v>
      </c>
      <c r="B111" s="2" t="s">
        <v>601</v>
      </c>
      <c r="C111" s="2" t="s">
        <v>59</v>
      </c>
      <c r="D111" s="2" t="s">
        <v>261</v>
      </c>
      <c r="E111" s="2" t="s">
        <v>262</v>
      </c>
      <c r="F111" s="2" t="s">
        <v>261</v>
      </c>
      <c r="G111" s="2"/>
      <c r="H111" s="2"/>
      <c r="I111" s="2"/>
      <c r="J111" s="2"/>
      <c r="K111" s="2"/>
      <c r="L111" s="2"/>
      <c r="M111" s="2"/>
      <c r="N111" s="2"/>
      <c r="O111" s="2" t="s">
        <v>602</v>
      </c>
      <c r="P111" s="2" t="s">
        <v>63</v>
      </c>
      <c r="Q111" s="2"/>
      <c r="R111" s="2"/>
      <c r="S111" s="2"/>
      <c r="T111" s="2" t="s">
        <v>603</v>
      </c>
      <c r="U111" s="2" t="s">
        <v>65</v>
      </c>
      <c r="V111" s="2" t="s">
        <v>66</v>
      </c>
      <c r="W111" s="2" t="s">
        <v>66</v>
      </c>
      <c r="X111" s="2" t="s">
        <v>65</v>
      </c>
      <c r="Y111" s="2" t="s">
        <v>451</v>
      </c>
      <c r="Z111" s="2" t="s">
        <v>452</v>
      </c>
      <c r="AA111" s="2" t="s">
        <v>97</v>
      </c>
      <c r="AB111" s="2" t="s">
        <v>70</v>
      </c>
      <c r="AC111" s="2" t="s">
        <v>71</v>
      </c>
      <c r="AD111" s="2" t="s">
        <v>72</v>
      </c>
      <c r="AE111" s="2"/>
      <c r="AF111" s="2"/>
      <c r="AG111" s="2"/>
      <c r="AH111" s="2" t="s">
        <v>73</v>
      </c>
      <c r="AI111" s="2" t="s">
        <v>604</v>
      </c>
      <c r="AJ111" s="2" t="s">
        <v>605</v>
      </c>
      <c r="AK111" s="2" t="s">
        <v>584</v>
      </c>
      <c r="AL111" s="2" t="s">
        <v>606</v>
      </c>
      <c r="AM111" s="2" t="s">
        <v>394</v>
      </c>
      <c r="AN111" s="2" t="s">
        <v>78</v>
      </c>
      <c r="AO111" s="2"/>
      <c r="AP111" s="2"/>
      <c r="AQ111" s="2" t="s">
        <v>80</v>
      </c>
      <c r="AR111" s="2" t="s">
        <v>81</v>
      </c>
      <c r="AS111" s="2" t="s">
        <v>607</v>
      </c>
      <c r="AT111" s="2"/>
      <c r="AU111" s="2" t="s">
        <v>83</v>
      </c>
      <c r="AV111" s="2" t="s">
        <v>84</v>
      </c>
      <c r="AW111" s="2" t="s">
        <v>73</v>
      </c>
      <c r="AX111" s="2" t="s">
        <v>85</v>
      </c>
      <c r="AY111" s="2"/>
      <c r="AZ111" s="2" t="s">
        <v>86</v>
      </c>
      <c r="BA111" s="2" t="s">
        <v>87</v>
      </c>
      <c r="BB111" s="2" t="s">
        <v>88</v>
      </c>
      <c r="BC111" s="2" t="s">
        <v>89</v>
      </c>
      <c r="BD111" s="2"/>
      <c r="BE111" s="2"/>
      <c r="BF111" s="2"/>
      <c r="BG111" s="2" t="s">
        <v>90</v>
      </c>
    </row>
    <row r="112" spans="1:59" ht="29.5" x14ac:dyDescent="0.4">
      <c r="A112" s="5" t="s">
        <v>742</v>
      </c>
      <c r="B112" s="2" t="s">
        <v>601</v>
      </c>
      <c r="C112" s="2" t="s">
        <v>59</v>
      </c>
      <c r="D112" s="2" t="s">
        <v>261</v>
      </c>
      <c r="E112" s="2" t="s">
        <v>262</v>
      </c>
      <c r="F112" s="2" t="s">
        <v>261</v>
      </c>
      <c r="G112" s="2"/>
      <c r="H112" s="2"/>
      <c r="I112" s="2"/>
      <c r="J112" s="2"/>
      <c r="K112" s="2"/>
      <c r="L112" s="2"/>
      <c r="M112" s="2"/>
      <c r="N112" s="2"/>
      <c r="O112" s="2" t="s">
        <v>602</v>
      </c>
      <c r="P112" s="2" t="s">
        <v>63</v>
      </c>
      <c r="Q112" s="2"/>
      <c r="R112" s="2"/>
      <c r="S112" s="2"/>
      <c r="T112" s="2" t="s">
        <v>603</v>
      </c>
      <c r="U112" s="2" t="s">
        <v>65</v>
      </c>
      <c r="V112" s="2" t="s">
        <v>66</v>
      </c>
      <c r="W112" s="2" t="s">
        <v>66</v>
      </c>
      <c r="X112" s="2" t="s">
        <v>65</v>
      </c>
      <c r="Y112" s="2" t="s">
        <v>451</v>
      </c>
      <c r="Z112" s="2" t="s">
        <v>452</v>
      </c>
      <c r="AA112" s="2" t="s">
        <v>178</v>
      </c>
      <c r="AB112" s="2" t="s">
        <v>70</v>
      </c>
      <c r="AC112" s="2" t="s">
        <v>71</v>
      </c>
      <c r="AD112" s="2" t="s">
        <v>72</v>
      </c>
      <c r="AE112" s="2"/>
      <c r="AF112" s="2"/>
      <c r="AG112" s="2"/>
      <c r="AH112" s="2" t="s">
        <v>73</v>
      </c>
      <c r="AI112" s="2" t="s">
        <v>604</v>
      </c>
      <c r="AJ112" s="2" t="s">
        <v>608</v>
      </c>
      <c r="AK112" s="2" t="s">
        <v>584</v>
      </c>
      <c r="AL112" s="2" t="s">
        <v>609</v>
      </c>
      <c r="AM112" s="2" t="s">
        <v>243</v>
      </c>
      <c r="AN112" s="2" t="s">
        <v>282</v>
      </c>
      <c r="AO112" s="2"/>
      <c r="AP112" s="2"/>
      <c r="AQ112" s="2" t="s">
        <v>80</v>
      </c>
      <c r="AR112" s="2" t="s">
        <v>81</v>
      </c>
      <c r="AS112" s="2" t="s">
        <v>610</v>
      </c>
      <c r="AT112" s="2"/>
      <c r="AU112" s="2" t="s">
        <v>214</v>
      </c>
      <c r="AV112" s="2" t="s">
        <v>271</v>
      </c>
      <c r="AW112" s="2" t="s">
        <v>73</v>
      </c>
      <c r="AX112" s="2" t="s">
        <v>283</v>
      </c>
      <c r="AY112" s="2"/>
      <c r="AZ112" s="2" t="s">
        <v>86</v>
      </c>
      <c r="BA112" s="2" t="s">
        <v>87</v>
      </c>
      <c r="BB112" s="2" t="s">
        <v>73</v>
      </c>
      <c r="BC112" s="2" t="s">
        <v>284</v>
      </c>
      <c r="BD112" s="2"/>
      <c r="BE112" s="2"/>
      <c r="BF112" s="2"/>
      <c r="BG112" s="2" t="s">
        <v>90</v>
      </c>
    </row>
    <row r="113" spans="1:59" ht="29.5" x14ac:dyDescent="0.4">
      <c r="A113" s="5" t="s">
        <v>742</v>
      </c>
      <c r="B113" s="2" t="s">
        <v>601</v>
      </c>
      <c r="C113" s="2" t="s">
        <v>59</v>
      </c>
      <c r="D113" s="2" t="s">
        <v>261</v>
      </c>
      <c r="E113" s="2" t="s">
        <v>262</v>
      </c>
      <c r="F113" s="2" t="s">
        <v>261</v>
      </c>
      <c r="G113" s="2"/>
      <c r="H113" s="2"/>
      <c r="I113" s="2"/>
      <c r="J113" s="2"/>
      <c r="K113" s="2"/>
      <c r="L113" s="2"/>
      <c r="M113" s="2"/>
      <c r="N113" s="2"/>
      <c r="O113" s="2" t="s">
        <v>602</v>
      </c>
      <c r="P113" s="2" t="s">
        <v>63</v>
      </c>
      <c r="Q113" s="2"/>
      <c r="R113" s="2"/>
      <c r="S113" s="2"/>
      <c r="T113" s="2" t="s">
        <v>603</v>
      </c>
      <c r="U113" s="2" t="s">
        <v>65</v>
      </c>
      <c r="V113" s="2" t="s">
        <v>66</v>
      </c>
      <c r="W113" s="2" t="s">
        <v>66</v>
      </c>
      <c r="X113" s="2" t="s">
        <v>65</v>
      </c>
      <c r="Y113" s="2" t="s">
        <v>451</v>
      </c>
      <c r="Z113" s="2" t="s">
        <v>452</v>
      </c>
      <c r="AA113" s="2" t="s">
        <v>69</v>
      </c>
      <c r="AB113" s="2" t="s">
        <v>70</v>
      </c>
      <c r="AC113" s="2" t="s">
        <v>71</v>
      </c>
      <c r="AD113" s="2" t="s">
        <v>72</v>
      </c>
      <c r="AE113" s="2"/>
      <c r="AF113" s="2"/>
      <c r="AG113" s="2"/>
      <c r="AH113" s="2" t="s">
        <v>73</v>
      </c>
      <c r="AI113" s="2" t="s">
        <v>604</v>
      </c>
      <c r="AJ113" s="2" t="s">
        <v>611</v>
      </c>
      <c r="AK113" s="2" t="s">
        <v>250</v>
      </c>
      <c r="AL113" s="2" t="s">
        <v>612</v>
      </c>
      <c r="AM113" s="2" t="s">
        <v>117</v>
      </c>
      <c r="AN113" s="2" t="s">
        <v>613</v>
      </c>
      <c r="AO113" s="2"/>
      <c r="AP113" s="2"/>
      <c r="AQ113" s="2" t="s">
        <v>614</v>
      </c>
      <c r="AR113" s="2" t="s">
        <v>615</v>
      </c>
      <c r="AS113" s="2" t="s">
        <v>616</v>
      </c>
      <c r="AT113" s="2"/>
      <c r="AU113" s="2" t="s">
        <v>617</v>
      </c>
      <c r="AV113" s="2" t="s">
        <v>618</v>
      </c>
      <c r="AW113" s="2" t="s">
        <v>73</v>
      </c>
      <c r="AX113" s="2" t="s">
        <v>619</v>
      </c>
      <c r="AY113" s="2"/>
      <c r="AZ113" s="2" t="s">
        <v>620</v>
      </c>
      <c r="BA113" s="2" t="s">
        <v>621</v>
      </c>
      <c r="BB113" s="2" t="s">
        <v>622</v>
      </c>
      <c r="BC113" s="2" t="s">
        <v>623</v>
      </c>
      <c r="BD113" s="2"/>
      <c r="BE113" s="2"/>
      <c r="BF113" s="2"/>
      <c r="BG113" s="2" t="s">
        <v>90</v>
      </c>
    </row>
    <row r="114" spans="1:59" ht="29.5" x14ac:dyDescent="0.4">
      <c r="A114" s="5" t="s">
        <v>742</v>
      </c>
      <c r="B114" s="2" t="s">
        <v>601</v>
      </c>
      <c r="C114" s="2" t="s">
        <v>59</v>
      </c>
      <c r="D114" s="2" t="s">
        <v>261</v>
      </c>
      <c r="E114" s="2" t="s">
        <v>262</v>
      </c>
      <c r="F114" s="2" t="s">
        <v>261</v>
      </c>
      <c r="G114" s="2"/>
      <c r="H114" s="2"/>
      <c r="I114" s="2"/>
      <c r="J114" s="2"/>
      <c r="K114" s="2"/>
      <c r="L114" s="2"/>
      <c r="M114" s="2"/>
      <c r="N114" s="2"/>
      <c r="O114" s="2" t="s">
        <v>602</v>
      </c>
      <c r="P114" s="2" t="s">
        <v>63</v>
      </c>
      <c r="Q114" s="2"/>
      <c r="R114" s="2"/>
      <c r="S114" s="2"/>
      <c r="T114" s="2" t="s">
        <v>603</v>
      </c>
      <c r="U114" s="2" t="s">
        <v>65</v>
      </c>
      <c r="V114" s="2" t="s">
        <v>66</v>
      </c>
      <c r="W114" s="2" t="s">
        <v>66</v>
      </c>
      <c r="X114" s="2" t="s">
        <v>65</v>
      </c>
      <c r="Y114" s="2" t="s">
        <v>451</v>
      </c>
      <c r="Z114" s="2" t="s">
        <v>452</v>
      </c>
      <c r="AA114" s="2" t="s">
        <v>162</v>
      </c>
      <c r="AB114" s="2" t="s">
        <v>70</v>
      </c>
      <c r="AC114" s="2" t="s">
        <v>71</v>
      </c>
      <c r="AD114" s="2" t="s">
        <v>72</v>
      </c>
      <c r="AE114" s="2"/>
      <c r="AF114" s="2"/>
      <c r="AG114" s="2"/>
      <c r="AH114" s="2" t="s">
        <v>91</v>
      </c>
      <c r="AI114" s="2" t="s">
        <v>604</v>
      </c>
      <c r="AJ114" s="2" t="s">
        <v>624</v>
      </c>
      <c r="AK114" s="2" t="s">
        <v>62</v>
      </c>
      <c r="AL114" s="2" t="s">
        <v>625</v>
      </c>
      <c r="AM114" s="2" t="s">
        <v>626</v>
      </c>
      <c r="AN114" s="2" t="s">
        <v>627</v>
      </c>
      <c r="AO114" s="2"/>
      <c r="AP114" s="2"/>
      <c r="AQ114" s="2" t="s">
        <v>291</v>
      </c>
      <c r="AR114" s="2" t="s">
        <v>292</v>
      </c>
      <c r="AS114" s="2" t="s">
        <v>628</v>
      </c>
      <c r="AT114" s="2"/>
      <c r="AU114" s="2" t="s">
        <v>377</v>
      </c>
      <c r="AV114" s="2" t="s">
        <v>629</v>
      </c>
      <c r="AW114" s="2" t="s">
        <v>73</v>
      </c>
      <c r="AX114" s="2" t="s">
        <v>630</v>
      </c>
      <c r="AY114" s="2" t="s">
        <v>631</v>
      </c>
      <c r="AZ114" s="2" t="s">
        <v>297</v>
      </c>
      <c r="BA114" s="2" t="s">
        <v>298</v>
      </c>
      <c r="BB114" s="2" t="s">
        <v>618</v>
      </c>
      <c r="BC114" s="2" t="s">
        <v>632</v>
      </c>
      <c r="BD114" s="2"/>
      <c r="BE114" s="2"/>
      <c r="BF114" s="2"/>
      <c r="BG114" s="2" t="s">
        <v>90</v>
      </c>
    </row>
    <row r="115" spans="1:59" ht="29.5" x14ac:dyDescent="0.4">
      <c r="A115" s="5" t="s">
        <v>742</v>
      </c>
      <c r="B115" s="2" t="s">
        <v>601</v>
      </c>
      <c r="C115" s="2" t="s">
        <v>59</v>
      </c>
      <c r="D115" s="2" t="s">
        <v>261</v>
      </c>
      <c r="E115" s="2" t="s">
        <v>262</v>
      </c>
      <c r="F115" s="2" t="s">
        <v>261</v>
      </c>
      <c r="G115" s="2"/>
      <c r="H115" s="2"/>
      <c r="I115" s="2"/>
      <c r="J115" s="2"/>
      <c r="K115" s="2"/>
      <c r="L115" s="2"/>
      <c r="M115" s="2"/>
      <c r="N115" s="2"/>
      <c r="O115" s="2" t="s">
        <v>602</v>
      </c>
      <c r="P115" s="2" t="s">
        <v>63</v>
      </c>
      <c r="Q115" s="2"/>
      <c r="R115" s="2"/>
      <c r="S115" s="2"/>
      <c r="T115" s="2" t="s">
        <v>603</v>
      </c>
      <c r="U115" s="2" t="s">
        <v>65</v>
      </c>
      <c r="V115" s="2" t="s">
        <v>66</v>
      </c>
      <c r="W115" s="2" t="s">
        <v>66</v>
      </c>
      <c r="X115" s="2" t="s">
        <v>65</v>
      </c>
      <c r="Y115" s="2" t="s">
        <v>451</v>
      </c>
      <c r="Z115" s="2" t="s">
        <v>452</v>
      </c>
      <c r="AA115" s="2" t="s">
        <v>162</v>
      </c>
      <c r="AB115" s="2" t="s">
        <v>70</v>
      </c>
      <c r="AC115" s="2" t="s">
        <v>71</v>
      </c>
      <c r="AD115" s="2" t="s">
        <v>72</v>
      </c>
      <c r="AE115" s="2"/>
      <c r="AF115" s="2"/>
      <c r="AG115" s="2"/>
      <c r="AH115" s="2" t="s">
        <v>91</v>
      </c>
      <c r="AI115" s="2" t="s">
        <v>604</v>
      </c>
      <c r="AJ115" s="2" t="s">
        <v>624</v>
      </c>
      <c r="AK115" s="2" t="s">
        <v>62</v>
      </c>
      <c r="AL115" s="2" t="s">
        <v>625</v>
      </c>
      <c r="AM115" s="2" t="s">
        <v>626</v>
      </c>
      <c r="AN115" s="2" t="s">
        <v>627</v>
      </c>
      <c r="AO115" s="2"/>
      <c r="AP115" s="2"/>
      <c r="AQ115" s="2" t="s">
        <v>291</v>
      </c>
      <c r="AR115" s="2" t="s">
        <v>292</v>
      </c>
      <c r="AS115" s="2" t="s">
        <v>628</v>
      </c>
      <c r="AT115" s="2"/>
      <c r="AU115" s="2" t="s">
        <v>377</v>
      </c>
      <c r="AV115" s="2" t="s">
        <v>629</v>
      </c>
      <c r="AW115" s="2" t="s">
        <v>91</v>
      </c>
      <c r="AX115" s="2" t="s">
        <v>296</v>
      </c>
      <c r="AY115" s="2" t="s">
        <v>273</v>
      </c>
      <c r="AZ115" s="2" t="s">
        <v>297</v>
      </c>
      <c r="BA115" s="2" t="s">
        <v>298</v>
      </c>
      <c r="BB115" s="2" t="s">
        <v>618</v>
      </c>
      <c r="BC115" s="2" t="s">
        <v>632</v>
      </c>
      <c r="BD115" s="2"/>
      <c r="BE115" s="2"/>
      <c r="BF115" s="2"/>
      <c r="BG115" s="2" t="s">
        <v>90</v>
      </c>
    </row>
    <row r="116" spans="1:59" ht="29.5" x14ac:dyDescent="0.4">
      <c r="A116" s="5" t="s">
        <v>742</v>
      </c>
      <c r="B116" s="2" t="s">
        <v>601</v>
      </c>
      <c r="C116" s="2" t="s">
        <v>59</v>
      </c>
      <c r="D116" s="2" t="s">
        <v>261</v>
      </c>
      <c r="E116" s="2" t="s">
        <v>262</v>
      </c>
      <c r="F116" s="2" t="s">
        <v>261</v>
      </c>
      <c r="G116" s="2"/>
      <c r="H116" s="2"/>
      <c r="I116" s="2"/>
      <c r="J116" s="2"/>
      <c r="K116" s="2"/>
      <c r="L116" s="2"/>
      <c r="M116" s="2"/>
      <c r="N116" s="2"/>
      <c r="O116" s="2" t="s">
        <v>602</v>
      </c>
      <c r="P116" s="2" t="s">
        <v>63</v>
      </c>
      <c r="Q116" s="2"/>
      <c r="R116" s="2"/>
      <c r="S116" s="2"/>
      <c r="T116" s="2" t="s">
        <v>603</v>
      </c>
      <c r="U116" s="2" t="s">
        <v>65</v>
      </c>
      <c r="V116" s="2" t="s">
        <v>66</v>
      </c>
      <c r="W116" s="2" t="s">
        <v>66</v>
      </c>
      <c r="X116" s="2" t="s">
        <v>65</v>
      </c>
      <c r="Y116" s="2" t="s">
        <v>451</v>
      </c>
      <c r="Z116" s="2" t="s">
        <v>452</v>
      </c>
      <c r="AA116" s="2" t="s">
        <v>143</v>
      </c>
      <c r="AB116" s="2" t="s">
        <v>70</v>
      </c>
      <c r="AC116" s="2" t="s">
        <v>71</v>
      </c>
      <c r="AD116" s="2" t="s">
        <v>72</v>
      </c>
      <c r="AE116" s="2"/>
      <c r="AF116" s="2"/>
      <c r="AG116" s="2"/>
      <c r="AH116" s="2" t="s">
        <v>73</v>
      </c>
      <c r="AI116" s="2" t="s">
        <v>604</v>
      </c>
      <c r="AJ116" s="2" t="s">
        <v>633</v>
      </c>
      <c r="AK116" s="2" t="s">
        <v>62</v>
      </c>
      <c r="AL116" s="2" t="s">
        <v>634</v>
      </c>
      <c r="AM116" s="2" t="s">
        <v>94</v>
      </c>
      <c r="AN116" s="2" t="s">
        <v>635</v>
      </c>
      <c r="AO116" s="2"/>
      <c r="AP116" s="2"/>
      <c r="AQ116" s="2" t="s">
        <v>636</v>
      </c>
      <c r="AR116" s="2" t="s">
        <v>637</v>
      </c>
      <c r="AS116" s="2" t="s">
        <v>638</v>
      </c>
      <c r="AT116" s="2"/>
      <c r="AU116" s="2" t="s">
        <v>639</v>
      </c>
      <c r="AV116" s="2" t="s">
        <v>640</v>
      </c>
      <c r="AW116" s="2" t="s">
        <v>73</v>
      </c>
      <c r="AX116" s="2" t="s">
        <v>641</v>
      </c>
      <c r="AY116" s="2"/>
      <c r="AZ116" s="2" t="s">
        <v>642</v>
      </c>
      <c r="BA116" s="2" t="s">
        <v>643</v>
      </c>
      <c r="BB116" s="2" t="s">
        <v>644</v>
      </c>
      <c r="BC116" s="2" t="s">
        <v>645</v>
      </c>
      <c r="BD116" s="2"/>
      <c r="BE116" s="2"/>
      <c r="BF116" s="2"/>
      <c r="BG116" s="2" t="s">
        <v>90</v>
      </c>
    </row>
    <row r="117" spans="1:59" ht="29.5" x14ac:dyDescent="0.4">
      <c r="A117" s="5" t="s">
        <v>742</v>
      </c>
      <c r="B117" s="2" t="s">
        <v>601</v>
      </c>
      <c r="C117" s="2" t="s">
        <v>59</v>
      </c>
      <c r="D117" s="2" t="s">
        <v>261</v>
      </c>
      <c r="E117" s="2" t="s">
        <v>262</v>
      </c>
      <c r="F117" s="2" t="s">
        <v>261</v>
      </c>
      <c r="G117" s="2"/>
      <c r="H117" s="2"/>
      <c r="I117" s="2"/>
      <c r="J117" s="2"/>
      <c r="K117" s="2"/>
      <c r="L117" s="2"/>
      <c r="M117" s="2"/>
      <c r="N117" s="2"/>
      <c r="O117" s="2" t="s">
        <v>602</v>
      </c>
      <c r="P117" s="2" t="s">
        <v>63</v>
      </c>
      <c r="Q117" s="2"/>
      <c r="R117" s="2"/>
      <c r="S117" s="2"/>
      <c r="T117" s="2" t="s">
        <v>603</v>
      </c>
      <c r="U117" s="2" t="s">
        <v>65</v>
      </c>
      <c r="V117" s="2" t="s">
        <v>66</v>
      </c>
      <c r="W117" s="2" t="s">
        <v>66</v>
      </c>
      <c r="X117" s="2" t="s">
        <v>65</v>
      </c>
      <c r="Y117" s="2" t="s">
        <v>451</v>
      </c>
      <c r="Z117" s="2" t="s">
        <v>452</v>
      </c>
      <c r="AA117" s="2" t="s">
        <v>143</v>
      </c>
      <c r="AB117" s="2" t="s">
        <v>70</v>
      </c>
      <c r="AC117" s="2" t="s">
        <v>71</v>
      </c>
      <c r="AD117" s="2" t="s">
        <v>72</v>
      </c>
      <c r="AE117" s="2"/>
      <c r="AF117" s="2"/>
      <c r="AG117" s="2"/>
      <c r="AH117" s="2" t="s">
        <v>73</v>
      </c>
      <c r="AI117" s="2" t="s">
        <v>604</v>
      </c>
      <c r="AJ117" s="2" t="s">
        <v>633</v>
      </c>
      <c r="AK117" s="2" t="s">
        <v>62</v>
      </c>
      <c r="AL117" s="2" t="s">
        <v>634</v>
      </c>
      <c r="AM117" s="2" t="s">
        <v>94</v>
      </c>
      <c r="AN117" s="2" t="s">
        <v>635</v>
      </c>
      <c r="AO117" s="2"/>
      <c r="AP117" s="2"/>
      <c r="AQ117" s="2" t="s">
        <v>636</v>
      </c>
      <c r="AR117" s="2" t="s">
        <v>637</v>
      </c>
      <c r="AS117" s="2" t="s">
        <v>638</v>
      </c>
      <c r="AT117" s="2"/>
      <c r="AU117" s="2" t="s">
        <v>639</v>
      </c>
      <c r="AV117" s="2" t="s">
        <v>640</v>
      </c>
      <c r="AW117" s="2" t="s">
        <v>91</v>
      </c>
      <c r="AX117" s="2" t="s">
        <v>641</v>
      </c>
      <c r="AY117" s="2"/>
      <c r="AZ117" s="2" t="s">
        <v>642</v>
      </c>
      <c r="BA117" s="2" t="s">
        <v>643</v>
      </c>
      <c r="BB117" s="2" t="s">
        <v>644</v>
      </c>
      <c r="BC117" s="2" t="s">
        <v>645</v>
      </c>
      <c r="BD117" s="2"/>
      <c r="BE117" s="2"/>
      <c r="BF117" s="2"/>
      <c r="BG117" s="2" t="s">
        <v>90</v>
      </c>
    </row>
    <row r="118" spans="1:59" ht="29.5" x14ac:dyDescent="0.4">
      <c r="A118" s="5" t="s">
        <v>742</v>
      </c>
      <c r="B118" s="2" t="s">
        <v>601</v>
      </c>
      <c r="C118" s="2" t="s">
        <v>59</v>
      </c>
      <c r="D118" s="2" t="s">
        <v>261</v>
      </c>
      <c r="E118" s="2" t="s">
        <v>262</v>
      </c>
      <c r="F118" s="2" t="s">
        <v>261</v>
      </c>
      <c r="G118" s="2"/>
      <c r="H118" s="2"/>
      <c r="I118" s="2"/>
      <c r="J118" s="2"/>
      <c r="K118" s="2"/>
      <c r="L118" s="2"/>
      <c r="M118" s="2"/>
      <c r="N118" s="2"/>
      <c r="O118" s="2" t="s">
        <v>602</v>
      </c>
      <c r="P118" s="2" t="s">
        <v>63</v>
      </c>
      <c r="Q118" s="2"/>
      <c r="R118" s="2"/>
      <c r="S118" s="2"/>
      <c r="T118" s="2" t="s">
        <v>603</v>
      </c>
      <c r="U118" s="2" t="s">
        <v>65</v>
      </c>
      <c r="V118" s="2" t="s">
        <v>66</v>
      </c>
      <c r="W118" s="2" t="s">
        <v>66</v>
      </c>
      <c r="X118" s="2" t="s">
        <v>65</v>
      </c>
      <c r="Y118" s="2" t="s">
        <v>451</v>
      </c>
      <c r="Z118" s="2" t="s">
        <v>452</v>
      </c>
      <c r="AA118" s="2" t="s">
        <v>88</v>
      </c>
      <c r="AB118" s="2" t="s">
        <v>70</v>
      </c>
      <c r="AC118" s="2" t="s">
        <v>71</v>
      </c>
      <c r="AD118" s="2" t="s">
        <v>72</v>
      </c>
      <c r="AE118" s="2"/>
      <c r="AF118" s="2"/>
      <c r="AG118" s="2"/>
      <c r="AH118" s="2" t="s">
        <v>73</v>
      </c>
      <c r="AI118" s="2" t="s">
        <v>604</v>
      </c>
      <c r="AJ118" s="2" t="s">
        <v>646</v>
      </c>
      <c r="AK118" s="2" t="s">
        <v>62</v>
      </c>
      <c r="AL118" s="2" t="s">
        <v>647</v>
      </c>
      <c r="AM118" s="2" t="s">
        <v>648</v>
      </c>
      <c r="AN118" s="2" t="s">
        <v>649</v>
      </c>
      <c r="AO118" s="2"/>
      <c r="AP118" s="2"/>
      <c r="AQ118" s="2" t="s">
        <v>650</v>
      </c>
      <c r="AR118" s="2" t="s">
        <v>651</v>
      </c>
      <c r="AS118" s="2" t="s">
        <v>652</v>
      </c>
      <c r="AT118" s="2"/>
      <c r="AU118" s="2" t="s">
        <v>653</v>
      </c>
      <c r="AV118" s="2" t="s">
        <v>654</v>
      </c>
      <c r="AW118" s="2" t="s">
        <v>73</v>
      </c>
      <c r="AX118" s="2" t="s">
        <v>655</v>
      </c>
      <c r="AY118" s="2"/>
      <c r="AZ118" s="2" t="s">
        <v>656</v>
      </c>
      <c r="BA118" s="2" t="s">
        <v>657</v>
      </c>
      <c r="BB118" s="2" t="s">
        <v>658</v>
      </c>
      <c r="BC118" s="2" t="s">
        <v>659</v>
      </c>
      <c r="BD118" s="2"/>
      <c r="BE118" s="2"/>
      <c r="BF118" s="2"/>
      <c r="BG118" s="2" t="s">
        <v>90</v>
      </c>
    </row>
    <row r="119" spans="1:59" ht="29.5" x14ac:dyDescent="0.4">
      <c r="A119" s="5" t="s">
        <v>742</v>
      </c>
      <c r="B119" s="2" t="s">
        <v>601</v>
      </c>
      <c r="C119" s="2" t="s">
        <v>59</v>
      </c>
      <c r="D119" s="2" t="s">
        <v>261</v>
      </c>
      <c r="E119" s="2" t="s">
        <v>262</v>
      </c>
      <c r="F119" s="2" t="s">
        <v>261</v>
      </c>
      <c r="G119" s="2"/>
      <c r="H119" s="2"/>
      <c r="I119" s="2"/>
      <c r="J119" s="2"/>
      <c r="K119" s="2"/>
      <c r="L119" s="2"/>
      <c r="M119" s="2"/>
      <c r="N119" s="2"/>
      <c r="O119" s="2" t="s">
        <v>602</v>
      </c>
      <c r="P119" s="2" t="s">
        <v>63</v>
      </c>
      <c r="Q119" s="2"/>
      <c r="R119" s="2"/>
      <c r="S119" s="2"/>
      <c r="T119" s="2" t="s">
        <v>603</v>
      </c>
      <c r="U119" s="2" t="s">
        <v>65</v>
      </c>
      <c r="V119" s="2" t="s">
        <v>66</v>
      </c>
      <c r="W119" s="2" t="s">
        <v>66</v>
      </c>
      <c r="X119" s="2" t="s">
        <v>65</v>
      </c>
      <c r="Y119" s="2" t="s">
        <v>451</v>
      </c>
      <c r="Z119" s="2" t="s">
        <v>452</v>
      </c>
      <c r="AA119" s="2" t="s">
        <v>495</v>
      </c>
      <c r="AB119" s="2" t="s">
        <v>70</v>
      </c>
      <c r="AC119" s="2" t="s">
        <v>71</v>
      </c>
      <c r="AD119" s="2" t="s">
        <v>72</v>
      </c>
      <c r="AE119" s="2"/>
      <c r="AF119" s="2"/>
      <c r="AG119" s="2"/>
      <c r="AH119" s="2" t="s">
        <v>73</v>
      </c>
      <c r="AI119" s="2" t="s">
        <v>604</v>
      </c>
      <c r="AJ119" s="2" t="s">
        <v>660</v>
      </c>
      <c r="AK119" s="2" t="s">
        <v>584</v>
      </c>
      <c r="AL119" s="2" t="s">
        <v>661</v>
      </c>
      <c r="AM119" s="2" t="s">
        <v>250</v>
      </c>
      <c r="AN119" s="2" t="s">
        <v>662</v>
      </c>
      <c r="AO119" s="2"/>
      <c r="AP119" s="2"/>
      <c r="AQ119" s="2" t="s">
        <v>133</v>
      </c>
      <c r="AR119" s="2" t="s">
        <v>134</v>
      </c>
      <c r="AS119" s="2" t="s">
        <v>663</v>
      </c>
      <c r="AT119" s="2"/>
      <c r="AU119" s="2" t="s">
        <v>664</v>
      </c>
      <c r="AV119" s="2" t="s">
        <v>113</v>
      </c>
      <c r="AW119" s="2" t="s">
        <v>73</v>
      </c>
      <c r="AX119" s="2" t="s">
        <v>665</v>
      </c>
      <c r="AY119" s="2" t="s">
        <v>666</v>
      </c>
      <c r="AZ119" s="2" t="s">
        <v>139</v>
      </c>
      <c r="BA119" s="2" t="s">
        <v>140</v>
      </c>
      <c r="BB119" s="2" t="s">
        <v>667</v>
      </c>
      <c r="BC119" s="2" t="s">
        <v>668</v>
      </c>
      <c r="BD119" s="2"/>
      <c r="BE119" s="2"/>
      <c r="BF119" s="2"/>
      <c r="BG119" s="2" t="s">
        <v>90</v>
      </c>
    </row>
    <row r="120" spans="1:59" ht="29.5" x14ac:dyDescent="0.4">
      <c r="A120" s="5" t="s">
        <v>742</v>
      </c>
      <c r="B120" s="2" t="s">
        <v>601</v>
      </c>
      <c r="C120" s="2" t="s">
        <v>59</v>
      </c>
      <c r="D120" s="2" t="s">
        <v>261</v>
      </c>
      <c r="E120" s="2" t="s">
        <v>262</v>
      </c>
      <c r="F120" s="2" t="s">
        <v>261</v>
      </c>
      <c r="G120" s="2"/>
      <c r="H120" s="2"/>
      <c r="I120" s="2"/>
      <c r="J120" s="2"/>
      <c r="K120" s="2"/>
      <c r="L120" s="2"/>
      <c r="M120" s="2"/>
      <c r="N120" s="2"/>
      <c r="O120" s="2" t="s">
        <v>602</v>
      </c>
      <c r="P120" s="2" t="s">
        <v>63</v>
      </c>
      <c r="Q120" s="2"/>
      <c r="R120" s="2"/>
      <c r="S120" s="2"/>
      <c r="T120" s="2" t="s">
        <v>603</v>
      </c>
      <c r="U120" s="2" t="s">
        <v>65</v>
      </c>
      <c r="V120" s="2" t="s">
        <v>66</v>
      </c>
      <c r="W120" s="2" t="s">
        <v>66</v>
      </c>
      <c r="X120" s="2" t="s">
        <v>65</v>
      </c>
      <c r="Y120" s="2" t="s">
        <v>451</v>
      </c>
      <c r="Z120" s="2" t="s">
        <v>452</v>
      </c>
      <c r="AA120" s="2" t="s">
        <v>495</v>
      </c>
      <c r="AB120" s="2" t="s">
        <v>70</v>
      </c>
      <c r="AC120" s="2" t="s">
        <v>71</v>
      </c>
      <c r="AD120" s="2" t="s">
        <v>72</v>
      </c>
      <c r="AE120" s="2"/>
      <c r="AF120" s="2"/>
      <c r="AG120" s="2"/>
      <c r="AH120" s="2" t="s">
        <v>73</v>
      </c>
      <c r="AI120" s="2" t="s">
        <v>604</v>
      </c>
      <c r="AJ120" s="2" t="s">
        <v>660</v>
      </c>
      <c r="AK120" s="2" t="s">
        <v>584</v>
      </c>
      <c r="AL120" s="2" t="s">
        <v>669</v>
      </c>
      <c r="AM120" s="2" t="s">
        <v>250</v>
      </c>
      <c r="AN120" s="2" t="s">
        <v>670</v>
      </c>
      <c r="AO120" s="2"/>
      <c r="AP120" s="2"/>
      <c r="AQ120" s="2" t="s">
        <v>133</v>
      </c>
      <c r="AR120" s="2" t="s">
        <v>134</v>
      </c>
      <c r="AS120" s="2" t="s">
        <v>663</v>
      </c>
      <c r="AT120" s="2"/>
      <c r="AU120" s="2" t="s">
        <v>664</v>
      </c>
      <c r="AV120" s="2" t="s">
        <v>113</v>
      </c>
      <c r="AW120" s="2" t="s">
        <v>73</v>
      </c>
      <c r="AX120" s="2" t="s">
        <v>665</v>
      </c>
      <c r="AY120" s="2" t="s">
        <v>666</v>
      </c>
      <c r="AZ120" s="2" t="s">
        <v>139</v>
      </c>
      <c r="BA120" s="2" t="s">
        <v>140</v>
      </c>
      <c r="BB120" s="2" t="s">
        <v>671</v>
      </c>
      <c r="BC120" s="2" t="s">
        <v>672</v>
      </c>
      <c r="BD120" s="2"/>
      <c r="BE120" s="2"/>
      <c r="BF120" s="2"/>
      <c r="BG120" s="2" t="s">
        <v>90</v>
      </c>
    </row>
    <row r="121" spans="1:59" ht="29.5" x14ac:dyDescent="0.4">
      <c r="A121" s="5" t="s">
        <v>742</v>
      </c>
      <c r="B121" s="2" t="s">
        <v>601</v>
      </c>
      <c r="C121" s="2" t="s">
        <v>59</v>
      </c>
      <c r="D121" s="2" t="s">
        <v>261</v>
      </c>
      <c r="E121" s="2" t="s">
        <v>262</v>
      </c>
      <c r="F121" s="2" t="s">
        <v>261</v>
      </c>
      <c r="G121" s="2"/>
      <c r="H121" s="2"/>
      <c r="I121" s="2"/>
      <c r="J121" s="2"/>
      <c r="K121" s="2"/>
      <c r="L121" s="2"/>
      <c r="M121" s="2"/>
      <c r="N121" s="2"/>
      <c r="O121" s="2" t="s">
        <v>602</v>
      </c>
      <c r="P121" s="2" t="s">
        <v>63</v>
      </c>
      <c r="Q121" s="2"/>
      <c r="R121" s="2"/>
      <c r="S121" s="2"/>
      <c r="T121" s="2" t="s">
        <v>603</v>
      </c>
      <c r="U121" s="2" t="s">
        <v>65</v>
      </c>
      <c r="V121" s="2" t="s">
        <v>66</v>
      </c>
      <c r="W121" s="2" t="s">
        <v>66</v>
      </c>
      <c r="X121" s="2" t="s">
        <v>65</v>
      </c>
      <c r="Y121" s="2" t="s">
        <v>451</v>
      </c>
      <c r="Z121" s="2" t="s">
        <v>452</v>
      </c>
      <c r="AA121" s="2" t="s">
        <v>113</v>
      </c>
      <c r="AB121" s="2" t="s">
        <v>70</v>
      </c>
      <c r="AC121" s="2" t="s">
        <v>71</v>
      </c>
      <c r="AD121" s="2" t="s">
        <v>72</v>
      </c>
      <c r="AE121" s="2"/>
      <c r="AF121" s="2"/>
      <c r="AG121" s="2"/>
      <c r="AH121" s="2" t="s">
        <v>73</v>
      </c>
      <c r="AI121" s="2" t="s">
        <v>604</v>
      </c>
      <c r="AJ121" s="2" t="s">
        <v>673</v>
      </c>
      <c r="AK121" s="2" t="s">
        <v>584</v>
      </c>
      <c r="AL121" s="2" t="s">
        <v>674</v>
      </c>
      <c r="AM121" s="2" t="s">
        <v>584</v>
      </c>
      <c r="AN121" s="2" t="s">
        <v>675</v>
      </c>
      <c r="AO121" s="2"/>
      <c r="AP121" s="2"/>
      <c r="AQ121" s="2" t="s">
        <v>148</v>
      </c>
      <c r="AR121" s="2" t="s">
        <v>149</v>
      </c>
      <c r="AS121" s="2" t="s">
        <v>676</v>
      </c>
      <c r="AT121" s="2"/>
      <c r="AU121" s="2" t="s">
        <v>136</v>
      </c>
      <c r="AV121" s="2" t="s">
        <v>137</v>
      </c>
      <c r="AW121" s="2" t="s">
        <v>73</v>
      </c>
      <c r="AX121" s="2" t="s">
        <v>153</v>
      </c>
      <c r="AY121" s="2" t="s">
        <v>153</v>
      </c>
      <c r="AZ121" s="2" t="s">
        <v>154</v>
      </c>
      <c r="BA121" s="2" t="s">
        <v>153</v>
      </c>
      <c r="BB121" s="2" t="s">
        <v>73</v>
      </c>
      <c r="BC121" s="2" t="s">
        <v>69</v>
      </c>
      <c r="BD121" s="2"/>
      <c r="BE121" s="2"/>
      <c r="BF121" s="2"/>
      <c r="BG121" s="2" t="s">
        <v>90</v>
      </c>
    </row>
    <row r="122" spans="1:59" ht="29.5" x14ac:dyDescent="0.4">
      <c r="A122" s="5" t="s">
        <v>742</v>
      </c>
      <c r="B122" s="2" t="s">
        <v>601</v>
      </c>
      <c r="C122" s="2" t="s">
        <v>59</v>
      </c>
      <c r="D122" s="2" t="s">
        <v>261</v>
      </c>
      <c r="E122" s="2" t="s">
        <v>262</v>
      </c>
      <c r="F122" s="2" t="s">
        <v>261</v>
      </c>
      <c r="G122" s="2"/>
      <c r="H122" s="2"/>
      <c r="I122" s="2"/>
      <c r="J122" s="2"/>
      <c r="K122" s="2"/>
      <c r="L122" s="2"/>
      <c r="M122" s="2"/>
      <c r="N122" s="2"/>
      <c r="O122" s="2" t="s">
        <v>602</v>
      </c>
      <c r="P122" s="2" t="s">
        <v>63</v>
      </c>
      <c r="Q122" s="2"/>
      <c r="R122" s="2"/>
      <c r="S122" s="2"/>
      <c r="T122" s="2" t="s">
        <v>603</v>
      </c>
      <c r="U122" s="2" t="s">
        <v>65</v>
      </c>
      <c r="V122" s="2" t="s">
        <v>66</v>
      </c>
      <c r="W122" s="2" t="s">
        <v>66</v>
      </c>
      <c r="X122" s="2" t="s">
        <v>65</v>
      </c>
      <c r="Y122" s="2" t="s">
        <v>451</v>
      </c>
      <c r="Z122" s="2" t="s">
        <v>452</v>
      </c>
      <c r="AA122" s="2" t="s">
        <v>113</v>
      </c>
      <c r="AB122" s="2" t="s">
        <v>70</v>
      </c>
      <c r="AC122" s="2" t="s">
        <v>71</v>
      </c>
      <c r="AD122" s="2" t="s">
        <v>72</v>
      </c>
      <c r="AE122" s="2"/>
      <c r="AF122" s="2"/>
      <c r="AG122" s="2"/>
      <c r="AH122" s="2" t="s">
        <v>73</v>
      </c>
      <c r="AI122" s="2" t="s">
        <v>604</v>
      </c>
      <c r="AJ122" s="2" t="s">
        <v>673</v>
      </c>
      <c r="AK122" s="2" t="s">
        <v>584</v>
      </c>
      <c r="AL122" s="2" t="s">
        <v>674</v>
      </c>
      <c r="AM122" s="2" t="s">
        <v>584</v>
      </c>
      <c r="AN122" s="2" t="s">
        <v>675</v>
      </c>
      <c r="AO122" s="2"/>
      <c r="AP122" s="2"/>
      <c r="AQ122" s="2" t="s">
        <v>148</v>
      </c>
      <c r="AR122" s="2" t="s">
        <v>149</v>
      </c>
      <c r="AS122" s="2" t="s">
        <v>676</v>
      </c>
      <c r="AT122" s="2"/>
      <c r="AU122" s="2" t="s">
        <v>136</v>
      </c>
      <c r="AV122" s="2" t="s">
        <v>137</v>
      </c>
      <c r="AW122" s="2" t="s">
        <v>91</v>
      </c>
      <c r="AX122" s="2" t="s">
        <v>156</v>
      </c>
      <c r="AY122" s="2"/>
      <c r="AZ122" s="2" t="s">
        <v>157</v>
      </c>
      <c r="BA122" s="2" t="s">
        <v>156</v>
      </c>
      <c r="BB122" s="2" t="s">
        <v>677</v>
      </c>
      <c r="BC122" s="2" t="s">
        <v>158</v>
      </c>
      <c r="BD122" s="2"/>
      <c r="BE122" s="2"/>
      <c r="BF122" s="2"/>
      <c r="BG122" s="2" t="s">
        <v>90</v>
      </c>
    </row>
    <row r="123" spans="1:59" ht="29.5" x14ac:dyDescent="0.4">
      <c r="A123" s="5" t="s">
        <v>742</v>
      </c>
      <c r="B123" s="2" t="s">
        <v>601</v>
      </c>
      <c r="C123" s="2" t="s">
        <v>59</v>
      </c>
      <c r="D123" s="2" t="s">
        <v>261</v>
      </c>
      <c r="E123" s="2" t="s">
        <v>262</v>
      </c>
      <c r="F123" s="2" t="s">
        <v>261</v>
      </c>
      <c r="G123" s="2"/>
      <c r="H123" s="2"/>
      <c r="I123" s="2"/>
      <c r="J123" s="2"/>
      <c r="K123" s="2"/>
      <c r="L123" s="2"/>
      <c r="M123" s="2"/>
      <c r="N123" s="2"/>
      <c r="O123" s="2" t="s">
        <v>602</v>
      </c>
      <c r="P123" s="2" t="s">
        <v>63</v>
      </c>
      <c r="Q123" s="2"/>
      <c r="R123" s="2"/>
      <c r="S123" s="2"/>
      <c r="T123" s="2" t="s">
        <v>603</v>
      </c>
      <c r="U123" s="2" t="s">
        <v>65</v>
      </c>
      <c r="V123" s="2" t="s">
        <v>66</v>
      </c>
      <c r="W123" s="2" t="s">
        <v>66</v>
      </c>
      <c r="X123" s="2" t="s">
        <v>65</v>
      </c>
      <c r="Y123" s="2" t="s">
        <v>451</v>
      </c>
      <c r="Z123" s="2" t="s">
        <v>452</v>
      </c>
      <c r="AA123" s="2" t="s">
        <v>113</v>
      </c>
      <c r="AB123" s="2" t="s">
        <v>70</v>
      </c>
      <c r="AC123" s="2" t="s">
        <v>71</v>
      </c>
      <c r="AD123" s="2" t="s">
        <v>72</v>
      </c>
      <c r="AE123" s="2"/>
      <c r="AF123" s="2"/>
      <c r="AG123" s="2"/>
      <c r="AH123" s="2" t="s">
        <v>73</v>
      </c>
      <c r="AI123" s="2" t="s">
        <v>604</v>
      </c>
      <c r="AJ123" s="2" t="s">
        <v>673</v>
      </c>
      <c r="AK123" s="2" t="s">
        <v>584</v>
      </c>
      <c r="AL123" s="2" t="s">
        <v>674</v>
      </c>
      <c r="AM123" s="2" t="s">
        <v>584</v>
      </c>
      <c r="AN123" s="2" t="s">
        <v>675</v>
      </c>
      <c r="AO123" s="2"/>
      <c r="AP123" s="2"/>
      <c r="AQ123" s="2" t="s">
        <v>148</v>
      </c>
      <c r="AR123" s="2" t="s">
        <v>149</v>
      </c>
      <c r="AS123" s="2" t="s">
        <v>676</v>
      </c>
      <c r="AT123" s="2"/>
      <c r="AU123" s="2" t="s">
        <v>136</v>
      </c>
      <c r="AV123" s="2" t="s">
        <v>137</v>
      </c>
      <c r="AW123" s="2" t="s">
        <v>88</v>
      </c>
      <c r="AX123" s="2" t="s">
        <v>160</v>
      </c>
      <c r="AY123" s="2" t="s">
        <v>153</v>
      </c>
      <c r="AZ123" s="2" t="s">
        <v>161</v>
      </c>
      <c r="BA123" s="2" t="s">
        <v>160</v>
      </c>
      <c r="BB123" s="2" t="s">
        <v>73</v>
      </c>
      <c r="BC123" s="2" t="s">
        <v>69</v>
      </c>
      <c r="BD123" s="2"/>
      <c r="BE123" s="2"/>
      <c r="BF123" s="2"/>
      <c r="BG123" s="2" t="s">
        <v>90</v>
      </c>
    </row>
    <row r="124" spans="1:59" ht="29.5" x14ac:dyDescent="0.4">
      <c r="A124" s="5" t="s">
        <v>742</v>
      </c>
      <c r="B124" s="2" t="s">
        <v>601</v>
      </c>
      <c r="C124" s="2" t="s">
        <v>59</v>
      </c>
      <c r="D124" s="2" t="s">
        <v>261</v>
      </c>
      <c r="E124" s="2" t="s">
        <v>262</v>
      </c>
      <c r="F124" s="2" t="s">
        <v>261</v>
      </c>
      <c r="G124" s="2"/>
      <c r="H124" s="2"/>
      <c r="I124" s="2"/>
      <c r="J124" s="2"/>
      <c r="K124" s="2"/>
      <c r="L124" s="2"/>
      <c r="M124" s="2"/>
      <c r="N124" s="2"/>
      <c r="O124" s="2" t="s">
        <v>602</v>
      </c>
      <c r="P124" s="2" t="s">
        <v>63</v>
      </c>
      <c r="Q124" s="2"/>
      <c r="R124" s="2"/>
      <c r="S124" s="2"/>
      <c r="T124" s="2" t="s">
        <v>603</v>
      </c>
      <c r="U124" s="2" t="s">
        <v>65</v>
      </c>
      <c r="V124" s="2" t="s">
        <v>66</v>
      </c>
      <c r="W124" s="2" t="s">
        <v>66</v>
      </c>
      <c r="X124" s="2" t="s">
        <v>65</v>
      </c>
      <c r="Y124" s="2" t="s">
        <v>451</v>
      </c>
      <c r="Z124" s="2" t="s">
        <v>452</v>
      </c>
      <c r="AA124" s="2" t="s">
        <v>285</v>
      </c>
      <c r="AB124" s="2" t="s">
        <v>70</v>
      </c>
      <c r="AC124" s="2" t="s">
        <v>71</v>
      </c>
      <c r="AD124" s="2" t="s">
        <v>72</v>
      </c>
      <c r="AE124" s="2"/>
      <c r="AF124" s="2"/>
      <c r="AG124" s="2"/>
      <c r="AH124" s="2" t="s">
        <v>493</v>
      </c>
      <c r="AI124" s="2" t="s">
        <v>604</v>
      </c>
      <c r="AJ124" s="2" t="s">
        <v>678</v>
      </c>
      <c r="AK124" s="2" t="s">
        <v>602</v>
      </c>
      <c r="AL124" s="2" t="s">
        <v>679</v>
      </c>
      <c r="AM124" s="2" t="s">
        <v>602</v>
      </c>
      <c r="AN124" s="2" t="s">
        <v>680</v>
      </c>
      <c r="AO124" s="2"/>
      <c r="AP124" s="2"/>
      <c r="AQ124" s="2" t="s">
        <v>218</v>
      </c>
      <c r="AR124" s="2" t="s">
        <v>219</v>
      </c>
      <c r="AS124" s="2" t="s">
        <v>679</v>
      </c>
      <c r="AT124" s="2"/>
      <c r="AU124" s="2" t="s">
        <v>681</v>
      </c>
      <c r="AV124" s="2" t="s">
        <v>682</v>
      </c>
      <c r="AW124" s="2" t="s">
        <v>73</v>
      </c>
      <c r="AX124" s="2" t="s">
        <v>153</v>
      </c>
      <c r="AY124" s="2" t="s">
        <v>153</v>
      </c>
      <c r="AZ124" s="2" t="s">
        <v>154</v>
      </c>
      <c r="BA124" s="2" t="s">
        <v>153</v>
      </c>
      <c r="BB124" s="2" t="s">
        <v>493</v>
      </c>
      <c r="BC124" s="2" t="s">
        <v>683</v>
      </c>
      <c r="BD124" s="2"/>
      <c r="BE124" s="2"/>
      <c r="BF124" s="2"/>
      <c r="BG124" s="2" t="s">
        <v>90</v>
      </c>
    </row>
    <row r="125" spans="1:59" ht="29.5" x14ac:dyDescent="0.4">
      <c r="A125" s="5" t="s">
        <v>742</v>
      </c>
      <c r="B125" s="2" t="s">
        <v>601</v>
      </c>
      <c r="C125" s="2" t="s">
        <v>59</v>
      </c>
      <c r="D125" s="2" t="s">
        <v>261</v>
      </c>
      <c r="E125" s="2" t="s">
        <v>262</v>
      </c>
      <c r="F125" s="2" t="s">
        <v>261</v>
      </c>
      <c r="G125" s="2"/>
      <c r="H125" s="2"/>
      <c r="I125" s="2"/>
      <c r="J125" s="2"/>
      <c r="K125" s="2"/>
      <c r="L125" s="2"/>
      <c r="M125" s="2"/>
      <c r="N125" s="2"/>
      <c r="O125" s="2" t="s">
        <v>602</v>
      </c>
      <c r="P125" s="2" t="s">
        <v>63</v>
      </c>
      <c r="Q125" s="2"/>
      <c r="R125" s="2"/>
      <c r="S125" s="2"/>
      <c r="T125" s="2" t="s">
        <v>603</v>
      </c>
      <c r="U125" s="2" t="s">
        <v>65</v>
      </c>
      <c r="V125" s="2" t="s">
        <v>66</v>
      </c>
      <c r="W125" s="2" t="s">
        <v>66</v>
      </c>
      <c r="X125" s="2" t="s">
        <v>65</v>
      </c>
      <c r="Y125" s="2" t="s">
        <v>451</v>
      </c>
      <c r="Z125" s="2" t="s">
        <v>452</v>
      </c>
      <c r="AA125" s="2" t="s">
        <v>285</v>
      </c>
      <c r="AB125" s="2" t="s">
        <v>70</v>
      </c>
      <c r="AC125" s="2" t="s">
        <v>71</v>
      </c>
      <c r="AD125" s="2" t="s">
        <v>72</v>
      </c>
      <c r="AE125" s="2"/>
      <c r="AF125" s="2"/>
      <c r="AG125" s="2"/>
      <c r="AH125" s="2" t="s">
        <v>493</v>
      </c>
      <c r="AI125" s="2" t="s">
        <v>604</v>
      </c>
      <c r="AJ125" s="2" t="s">
        <v>678</v>
      </c>
      <c r="AK125" s="2" t="s">
        <v>602</v>
      </c>
      <c r="AL125" s="2" t="s">
        <v>679</v>
      </c>
      <c r="AM125" s="2" t="s">
        <v>602</v>
      </c>
      <c r="AN125" s="2" t="s">
        <v>680</v>
      </c>
      <c r="AO125" s="2"/>
      <c r="AP125" s="2"/>
      <c r="AQ125" s="2" t="s">
        <v>218</v>
      </c>
      <c r="AR125" s="2" t="s">
        <v>219</v>
      </c>
      <c r="AS125" s="2" t="s">
        <v>679</v>
      </c>
      <c r="AT125" s="2"/>
      <c r="AU125" s="2" t="s">
        <v>681</v>
      </c>
      <c r="AV125" s="2" t="s">
        <v>682</v>
      </c>
      <c r="AW125" s="2" t="s">
        <v>91</v>
      </c>
      <c r="AX125" s="2" t="s">
        <v>224</v>
      </c>
      <c r="AY125" s="2"/>
      <c r="AZ125" s="2" t="s">
        <v>161</v>
      </c>
      <c r="BA125" s="2" t="s">
        <v>225</v>
      </c>
      <c r="BB125" s="2" t="s">
        <v>684</v>
      </c>
      <c r="BC125" s="2" t="s">
        <v>685</v>
      </c>
      <c r="BD125" s="2"/>
      <c r="BE125" s="2"/>
      <c r="BF125" s="2"/>
      <c r="BG125" s="2" t="s">
        <v>90</v>
      </c>
    </row>
    <row r="126" spans="1:59" ht="29.5" x14ac:dyDescent="0.4">
      <c r="A126" s="5" t="s">
        <v>742</v>
      </c>
      <c r="B126" s="2" t="s">
        <v>601</v>
      </c>
      <c r="C126" s="2" t="s">
        <v>59</v>
      </c>
      <c r="D126" s="2" t="s">
        <v>261</v>
      </c>
      <c r="E126" s="2" t="s">
        <v>262</v>
      </c>
      <c r="F126" s="2" t="s">
        <v>261</v>
      </c>
      <c r="G126" s="2"/>
      <c r="H126" s="2"/>
      <c r="I126" s="2"/>
      <c r="J126" s="2"/>
      <c r="K126" s="2"/>
      <c r="L126" s="2"/>
      <c r="M126" s="2"/>
      <c r="N126" s="2"/>
      <c r="O126" s="2" t="s">
        <v>602</v>
      </c>
      <c r="P126" s="2" t="s">
        <v>63</v>
      </c>
      <c r="Q126" s="2"/>
      <c r="R126" s="2"/>
      <c r="S126" s="2"/>
      <c r="T126" s="2" t="s">
        <v>603</v>
      </c>
      <c r="U126" s="2" t="s">
        <v>65</v>
      </c>
      <c r="V126" s="2" t="s">
        <v>66</v>
      </c>
      <c r="W126" s="2" t="s">
        <v>66</v>
      </c>
      <c r="X126" s="2" t="s">
        <v>65</v>
      </c>
      <c r="Y126" s="2" t="s">
        <v>451</v>
      </c>
      <c r="Z126" s="2" t="s">
        <v>452</v>
      </c>
      <c r="AA126" s="2" t="s">
        <v>285</v>
      </c>
      <c r="AB126" s="2" t="s">
        <v>70</v>
      </c>
      <c r="AC126" s="2" t="s">
        <v>71</v>
      </c>
      <c r="AD126" s="2" t="s">
        <v>72</v>
      </c>
      <c r="AE126" s="2"/>
      <c r="AF126" s="2"/>
      <c r="AG126" s="2"/>
      <c r="AH126" s="2" t="s">
        <v>493</v>
      </c>
      <c r="AI126" s="2" t="s">
        <v>604</v>
      </c>
      <c r="AJ126" s="2" t="s">
        <v>678</v>
      </c>
      <c r="AK126" s="2" t="s">
        <v>602</v>
      </c>
      <c r="AL126" s="2" t="s">
        <v>679</v>
      </c>
      <c r="AM126" s="2" t="s">
        <v>602</v>
      </c>
      <c r="AN126" s="2" t="s">
        <v>680</v>
      </c>
      <c r="AO126" s="2"/>
      <c r="AP126" s="2"/>
      <c r="AQ126" s="2" t="s">
        <v>218</v>
      </c>
      <c r="AR126" s="2" t="s">
        <v>219</v>
      </c>
      <c r="AS126" s="2" t="s">
        <v>679</v>
      </c>
      <c r="AT126" s="2"/>
      <c r="AU126" s="2" t="s">
        <v>681</v>
      </c>
      <c r="AV126" s="2" t="s">
        <v>682</v>
      </c>
      <c r="AW126" s="2" t="s">
        <v>88</v>
      </c>
      <c r="AX126" s="2" t="s">
        <v>160</v>
      </c>
      <c r="AY126" s="2" t="s">
        <v>153</v>
      </c>
      <c r="AZ126" s="2" t="s">
        <v>161</v>
      </c>
      <c r="BA126" s="2" t="s">
        <v>160</v>
      </c>
      <c r="BB126" s="2" t="s">
        <v>493</v>
      </c>
      <c r="BC126" s="2" t="s">
        <v>683</v>
      </c>
      <c r="BD126" s="2"/>
      <c r="BE126" s="2"/>
      <c r="BF126" s="2"/>
      <c r="BG126" s="2" t="s">
        <v>90</v>
      </c>
    </row>
    <row r="127" spans="1:59" ht="29.5" x14ac:dyDescent="0.4">
      <c r="A127" s="5" t="s">
        <v>742</v>
      </c>
      <c r="B127" s="2" t="s">
        <v>601</v>
      </c>
      <c r="C127" s="2" t="s">
        <v>59</v>
      </c>
      <c r="D127" s="2" t="s">
        <v>261</v>
      </c>
      <c r="E127" s="2" t="s">
        <v>262</v>
      </c>
      <c r="F127" s="2" t="s">
        <v>261</v>
      </c>
      <c r="G127" s="2"/>
      <c r="H127" s="2"/>
      <c r="I127" s="2"/>
      <c r="J127" s="2"/>
      <c r="K127" s="2"/>
      <c r="L127" s="2"/>
      <c r="M127" s="2"/>
      <c r="N127" s="2"/>
      <c r="O127" s="2" t="s">
        <v>602</v>
      </c>
      <c r="P127" s="2" t="s">
        <v>63</v>
      </c>
      <c r="Q127" s="2"/>
      <c r="R127" s="2"/>
      <c r="S127" s="2"/>
      <c r="T127" s="2" t="s">
        <v>603</v>
      </c>
      <c r="U127" s="2" t="s">
        <v>65</v>
      </c>
      <c r="V127" s="2" t="s">
        <v>66</v>
      </c>
      <c r="W127" s="2" t="s">
        <v>66</v>
      </c>
      <c r="X127" s="2" t="s">
        <v>65</v>
      </c>
      <c r="Y127" s="2" t="s">
        <v>451</v>
      </c>
      <c r="Z127" s="2" t="s">
        <v>452</v>
      </c>
      <c r="AA127" s="2" t="s">
        <v>333</v>
      </c>
      <c r="AB127" s="2" t="s">
        <v>70</v>
      </c>
      <c r="AC127" s="2" t="s">
        <v>71</v>
      </c>
      <c r="AD127" s="2" t="s">
        <v>72</v>
      </c>
      <c r="AE127" s="2"/>
      <c r="AF127" s="2"/>
      <c r="AG127" s="2"/>
      <c r="AH127" s="2" t="s">
        <v>73</v>
      </c>
      <c r="AI127" s="2" t="s">
        <v>604</v>
      </c>
      <c r="AJ127" s="2" t="s">
        <v>686</v>
      </c>
      <c r="AK127" s="2" t="s">
        <v>602</v>
      </c>
      <c r="AL127" s="2" t="s">
        <v>687</v>
      </c>
      <c r="AM127" s="2" t="s">
        <v>449</v>
      </c>
      <c r="AN127" s="2" t="s">
        <v>230</v>
      </c>
      <c r="AO127" s="2"/>
      <c r="AP127" s="2"/>
      <c r="AQ127" s="2" t="s">
        <v>231</v>
      </c>
      <c r="AR127" s="2" t="s">
        <v>232</v>
      </c>
      <c r="AS127" s="2" t="s">
        <v>687</v>
      </c>
      <c r="AT127" s="2"/>
      <c r="AU127" s="2" t="s">
        <v>397</v>
      </c>
      <c r="AV127" s="2" t="s">
        <v>688</v>
      </c>
      <c r="AW127" s="2" t="s">
        <v>73</v>
      </c>
      <c r="AX127" s="2" t="s">
        <v>235</v>
      </c>
      <c r="AY127" s="2"/>
      <c r="AZ127" s="2" t="s">
        <v>236</v>
      </c>
      <c r="BA127" s="2" t="s">
        <v>237</v>
      </c>
      <c r="BB127" s="2" t="s">
        <v>238</v>
      </c>
      <c r="BC127" s="2" t="s">
        <v>239</v>
      </c>
      <c r="BD127" s="2"/>
      <c r="BE127" s="2"/>
      <c r="BF127" s="2"/>
      <c r="BG127" s="2" t="s">
        <v>90</v>
      </c>
    </row>
    <row r="128" spans="1:59" ht="29.5" x14ac:dyDescent="0.4">
      <c r="A128" s="5" t="s">
        <v>742</v>
      </c>
      <c r="B128" s="2" t="s">
        <v>601</v>
      </c>
      <c r="C128" s="2" t="s">
        <v>59</v>
      </c>
      <c r="D128" s="2" t="s">
        <v>261</v>
      </c>
      <c r="E128" s="2" t="s">
        <v>262</v>
      </c>
      <c r="F128" s="2" t="s">
        <v>261</v>
      </c>
      <c r="G128" s="2"/>
      <c r="H128" s="2"/>
      <c r="I128" s="2"/>
      <c r="J128" s="2"/>
      <c r="K128" s="2"/>
      <c r="L128" s="2"/>
      <c r="M128" s="2"/>
      <c r="N128" s="2"/>
      <c r="O128" s="2" t="s">
        <v>602</v>
      </c>
      <c r="P128" s="2" t="s">
        <v>63</v>
      </c>
      <c r="Q128" s="2"/>
      <c r="R128" s="2"/>
      <c r="S128" s="2"/>
      <c r="T128" s="2" t="s">
        <v>603</v>
      </c>
      <c r="U128" s="2" t="s">
        <v>65</v>
      </c>
      <c r="V128" s="2" t="s">
        <v>66</v>
      </c>
      <c r="W128" s="2" t="s">
        <v>66</v>
      </c>
      <c r="X128" s="2" t="s">
        <v>65</v>
      </c>
      <c r="Y128" s="2" t="s">
        <v>689</v>
      </c>
      <c r="Z128" s="2" t="s">
        <v>690</v>
      </c>
      <c r="AA128" s="2" t="s">
        <v>73</v>
      </c>
      <c r="AB128" s="2" t="s">
        <v>70</v>
      </c>
      <c r="AC128" s="2" t="s">
        <v>71</v>
      </c>
      <c r="AD128" s="2" t="s">
        <v>72</v>
      </c>
      <c r="AE128" s="2"/>
      <c r="AF128" s="2"/>
      <c r="AG128" s="2"/>
      <c r="AH128" s="2" t="s">
        <v>73</v>
      </c>
      <c r="AI128" s="2" t="s">
        <v>604</v>
      </c>
      <c r="AJ128" s="2" t="s">
        <v>691</v>
      </c>
      <c r="AK128" s="2" t="s">
        <v>584</v>
      </c>
      <c r="AL128" s="2" t="s">
        <v>692</v>
      </c>
      <c r="AM128" s="2" t="s">
        <v>394</v>
      </c>
      <c r="AN128" s="2" t="s">
        <v>693</v>
      </c>
      <c r="AO128" s="2"/>
      <c r="AP128" s="2"/>
      <c r="AQ128" s="2" t="s">
        <v>694</v>
      </c>
      <c r="AR128" s="2" t="s">
        <v>695</v>
      </c>
      <c r="AS128" s="2" t="s">
        <v>696</v>
      </c>
      <c r="AT128" s="2"/>
      <c r="AU128" s="2" t="s">
        <v>407</v>
      </c>
      <c r="AV128" s="2" t="s">
        <v>97</v>
      </c>
      <c r="AW128" s="2" t="s">
        <v>73</v>
      </c>
      <c r="AX128" s="2" t="s">
        <v>697</v>
      </c>
      <c r="AY128" s="2"/>
      <c r="AZ128" s="2" t="s">
        <v>698</v>
      </c>
      <c r="BA128" s="2" t="s">
        <v>699</v>
      </c>
      <c r="BB128" s="2" t="s">
        <v>91</v>
      </c>
      <c r="BC128" s="2" t="s">
        <v>700</v>
      </c>
      <c r="BD128" s="2"/>
      <c r="BE128" s="2"/>
      <c r="BF128" s="2"/>
      <c r="BG128" s="2" t="s">
        <v>90</v>
      </c>
    </row>
    <row r="129" spans="1:59" ht="29.5" x14ac:dyDescent="0.4">
      <c r="A129" s="5" t="s">
        <v>742</v>
      </c>
      <c r="B129" s="2" t="s">
        <v>601</v>
      </c>
      <c r="C129" s="2" t="s">
        <v>59</v>
      </c>
      <c r="D129" s="2" t="s">
        <v>261</v>
      </c>
      <c r="E129" s="2" t="s">
        <v>262</v>
      </c>
      <c r="F129" s="2" t="s">
        <v>261</v>
      </c>
      <c r="G129" s="2"/>
      <c r="H129" s="2"/>
      <c r="I129" s="2"/>
      <c r="J129" s="2"/>
      <c r="K129" s="2"/>
      <c r="L129" s="2"/>
      <c r="M129" s="2"/>
      <c r="N129" s="2"/>
      <c r="O129" s="2" t="s">
        <v>602</v>
      </c>
      <c r="P129" s="2" t="s">
        <v>63</v>
      </c>
      <c r="Q129" s="2"/>
      <c r="R129" s="2"/>
      <c r="S129" s="2"/>
      <c r="T129" s="2" t="s">
        <v>603</v>
      </c>
      <c r="U129" s="2" t="s">
        <v>65</v>
      </c>
      <c r="V129" s="2" t="s">
        <v>66</v>
      </c>
      <c r="W129" s="2" t="s">
        <v>66</v>
      </c>
      <c r="X129" s="2" t="s">
        <v>65</v>
      </c>
      <c r="Y129" s="2" t="s">
        <v>689</v>
      </c>
      <c r="Z129" s="2" t="s">
        <v>690</v>
      </c>
      <c r="AA129" s="2" t="s">
        <v>73</v>
      </c>
      <c r="AB129" s="2" t="s">
        <v>70</v>
      </c>
      <c r="AC129" s="2" t="s">
        <v>71</v>
      </c>
      <c r="AD129" s="2" t="s">
        <v>72</v>
      </c>
      <c r="AE129" s="2"/>
      <c r="AF129" s="2"/>
      <c r="AG129" s="2"/>
      <c r="AH129" s="2" t="s">
        <v>73</v>
      </c>
      <c r="AI129" s="2" t="s">
        <v>604</v>
      </c>
      <c r="AJ129" s="2" t="s">
        <v>691</v>
      </c>
      <c r="AK129" s="2" t="s">
        <v>584</v>
      </c>
      <c r="AL129" s="2" t="s">
        <v>692</v>
      </c>
      <c r="AM129" s="2" t="s">
        <v>394</v>
      </c>
      <c r="AN129" s="2" t="s">
        <v>693</v>
      </c>
      <c r="AO129" s="2"/>
      <c r="AP129" s="2"/>
      <c r="AQ129" s="2" t="s">
        <v>694</v>
      </c>
      <c r="AR129" s="2" t="s">
        <v>695</v>
      </c>
      <c r="AS129" s="2" t="s">
        <v>696</v>
      </c>
      <c r="AT129" s="2"/>
      <c r="AU129" s="2" t="s">
        <v>407</v>
      </c>
      <c r="AV129" s="2" t="s">
        <v>97</v>
      </c>
      <c r="AW129" s="2" t="s">
        <v>91</v>
      </c>
      <c r="AX129" s="2" t="s">
        <v>701</v>
      </c>
      <c r="AY129" s="2"/>
      <c r="AZ129" s="2" t="s">
        <v>698</v>
      </c>
      <c r="BA129" s="2" t="s">
        <v>699</v>
      </c>
      <c r="BB129" s="2" t="s">
        <v>73</v>
      </c>
      <c r="BC129" s="2" t="s">
        <v>702</v>
      </c>
      <c r="BD129" s="2"/>
      <c r="BE129" s="2"/>
      <c r="BF129" s="2"/>
      <c r="BG129" s="2" t="s">
        <v>90</v>
      </c>
    </row>
    <row r="130" spans="1:59" ht="29.5" x14ac:dyDescent="0.4">
      <c r="A130" s="5" t="s">
        <v>742</v>
      </c>
      <c r="B130" s="2" t="s">
        <v>601</v>
      </c>
      <c r="C130" s="2" t="s">
        <v>59</v>
      </c>
      <c r="D130" s="2" t="s">
        <v>261</v>
      </c>
      <c r="E130" s="2" t="s">
        <v>262</v>
      </c>
      <c r="F130" s="2" t="s">
        <v>261</v>
      </c>
      <c r="G130" s="2"/>
      <c r="H130" s="2"/>
      <c r="I130" s="2"/>
      <c r="J130" s="2"/>
      <c r="K130" s="2"/>
      <c r="L130" s="2"/>
      <c r="M130" s="2"/>
      <c r="N130" s="2"/>
      <c r="O130" s="2" t="s">
        <v>602</v>
      </c>
      <c r="P130" s="2" t="s">
        <v>63</v>
      </c>
      <c r="Q130" s="2"/>
      <c r="R130" s="2"/>
      <c r="S130" s="2"/>
      <c r="T130" s="2" t="s">
        <v>603</v>
      </c>
      <c r="U130" s="2" t="s">
        <v>65</v>
      </c>
      <c r="V130" s="2" t="s">
        <v>66</v>
      </c>
      <c r="W130" s="2" t="s">
        <v>66</v>
      </c>
      <c r="X130" s="2" t="s">
        <v>65</v>
      </c>
      <c r="Y130" s="2" t="s">
        <v>689</v>
      </c>
      <c r="Z130" s="2" t="s">
        <v>690</v>
      </c>
      <c r="AA130" s="2" t="s">
        <v>73</v>
      </c>
      <c r="AB130" s="2" t="s">
        <v>70</v>
      </c>
      <c r="AC130" s="2" t="s">
        <v>71</v>
      </c>
      <c r="AD130" s="2" t="s">
        <v>72</v>
      </c>
      <c r="AE130" s="2"/>
      <c r="AF130" s="2"/>
      <c r="AG130" s="2"/>
      <c r="AH130" s="2" t="s">
        <v>73</v>
      </c>
      <c r="AI130" s="2" t="s">
        <v>604</v>
      </c>
      <c r="AJ130" s="2" t="s">
        <v>691</v>
      </c>
      <c r="AK130" s="2" t="s">
        <v>584</v>
      </c>
      <c r="AL130" s="2" t="s">
        <v>692</v>
      </c>
      <c r="AM130" s="2" t="s">
        <v>394</v>
      </c>
      <c r="AN130" s="2" t="s">
        <v>693</v>
      </c>
      <c r="AO130" s="2"/>
      <c r="AP130" s="2"/>
      <c r="AQ130" s="2" t="s">
        <v>694</v>
      </c>
      <c r="AR130" s="2" t="s">
        <v>695</v>
      </c>
      <c r="AS130" s="2" t="s">
        <v>696</v>
      </c>
      <c r="AT130" s="2"/>
      <c r="AU130" s="2" t="s">
        <v>407</v>
      </c>
      <c r="AV130" s="2" t="s">
        <v>97</v>
      </c>
      <c r="AW130" s="2" t="s">
        <v>88</v>
      </c>
      <c r="AX130" s="2" t="s">
        <v>701</v>
      </c>
      <c r="AY130" s="2"/>
      <c r="AZ130" s="2" t="s">
        <v>698</v>
      </c>
      <c r="BA130" s="2" t="s">
        <v>699</v>
      </c>
      <c r="BB130" s="2" t="s">
        <v>73</v>
      </c>
      <c r="BC130" s="2" t="s">
        <v>702</v>
      </c>
      <c r="BD130" s="2"/>
      <c r="BE130" s="2"/>
      <c r="BF130" s="2"/>
      <c r="BG130" s="2" t="s">
        <v>90</v>
      </c>
    </row>
    <row r="131" spans="1:59" ht="29" x14ac:dyDescent="0.35">
      <c r="A131" s="6" t="s">
        <v>743</v>
      </c>
      <c r="B131" s="2" t="s">
        <v>703</v>
      </c>
      <c r="C131" s="2" t="s">
        <v>59</v>
      </c>
      <c r="D131" s="2" t="s">
        <v>261</v>
      </c>
      <c r="E131" s="2" t="s">
        <v>262</v>
      </c>
      <c r="F131" s="2" t="s">
        <v>261</v>
      </c>
      <c r="G131" s="2"/>
      <c r="H131" s="2"/>
      <c r="I131" s="2"/>
      <c r="J131" s="2"/>
      <c r="K131" s="2"/>
      <c r="L131" s="2"/>
      <c r="M131" s="2"/>
      <c r="N131" s="2"/>
      <c r="O131" s="2" t="s">
        <v>704</v>
      </c>
      <c r="P131" s="2" t="s">
        <v>63</v>
      </c>
      <c r="Q131" s="2"/>
      <c r="R131" s="2"/>
      <c r="S131" s="2"/>
      <c r="T131" s="2" t="s">
        <v>705</v>
      </c>
      <c r="U131" s="2" t="s">
        <v>65</v>
      </c>
      <c r="V131" s="2" t="s">
        <v>66</v>
      </c>
      <c r="W131" s="2" t="s">
        <v>66</v>
      </c>
      <c r="X131" s="2" t="s">
        <v>65</v>
      </c>
      <c r="Y131" s="2" t="s">
        <v>706</v>
      </c>
      <c r="Z131" s="2" t="s">
        <v>707</v>
      </c>
      <c r="AA131" s="2" t="s">
        <v>73</v>
      </c>
      <c r="AB131" s="2" t="s">
        <v>70</v>
      </c>
      <c r="AC131" s="2" t="s">
        <v>71</v>
      </c>
      <c r="AD131" s="2" t="s">
        <v>72</v>
      </c>
      <c r="AE131" s="2"/>
      <c r="AF131" s="2"/>
      <c r="AG131" s="2"/>
      <c r="AH131" s="2" t="s">
        <v>73</v>
      </c>
      <c r="AI131" s="2" t="s">
        <v>708</v>
      </c>
      <c r="AJ131" s="2" t="s">
        <v>709</v>
      </c>
      <c r="AK131" s="2" t="s">
        <v>62</v>
      </c>
      <c r="AL131" s="2" t="s">
        <v>710</v>
      </c>
      <c r="AM131" s="2" t="s">
        <v>336</v>
      </c>
      <c r="AN131" s="2" t="s">
        <v>711</v>
      </c>
      <c r="AO131" s="2"/>
      <c r="AP131" s="2" t="s">
        <v>712</v>
      </c>
      <c r="AQ131" s="2" t="s">
        <v>318</v>
      </c>
      <c r="AR131" s="2" t="s">
        <v>319</v>
      </c>
      <c r="AS131" s="2" t="s">
        <v>713</v>
      </c>
      <c r="AT131" s="2"/>
      <c r="AU131" s="2" t="s">
        <v>714</v>
      </c>
      <c r="AV131" s="2" t="s">
        <v>715</v>
      </c>
      <c r="AW131" s="2" t="s">
        <v>73</v>
      </c>
      <c r="AX131" s="2" t="s">
        <v>716</v>
      </c>
      <c r="AY131" s="2"/>
      <c r="AZ131" s="2" t="s">
        <v>717</v>
      </c>
      <c r="BA131" s="2" t="s">
        <v>718</v>
      </c>
      <c r="BB131" s="2" t="s">
        <v>714</v>
      </c>
      <c r="BC131" s="2" t="s">
        <v>719</v>
      </c>
      <c r="BD131" s="2"/>
      <c r="BE131" s="2"/>
      <c r="BF131" s="2"/>
      <c r="BG131" s="2" t="s">
        <v>90</v>
      </c>
    </row>
    <row r="132" spans="1:59" ht="29" x14ac:dyDescent="0.35">
      <c r="A132" s="6" t="s">
        <v>743</v>
      </c>
      <c r="B132" s="2" t="s">
        <v>703</v>
      </c>
      <c r="C132" s="2" t="s">
        <v>59</v>
      </c>
      <c r="D132" s="2" t="s">
        <v>261</v>
      </c>
      <c r="E132" s="2" t="s">
        <v>262</v>
      </c>
      <c r="F132" s="2" t="s">
        <v>261</v>
      </c>
      <c r="G132" s="2"/>
      <c r="H132" s="2"/>
      <c r="I132" s="2"/>
      <c r="J132" s="2"/>
      <c r="K132" s="2"/>
      <c r="L132" s="2"/>
      <c r="M132" s="2"/>
      <c r="N132" s="2"/>
      <c r="O132" s="2" t="s">
        <v>704</v>
      </c>
      <c r="P132" s="2" t="s">
        <v>63</v>
      </c>
      <c r="Q132" s="2"/>
      <c r="R132" s="2"/>
      <c r="S132" s="2"/>
      <c r="T132" s="2" t="s">
        <v>705</v>
      </c>
      <c r="U132" s="2" t="s">
        <v>65</v>
      </c>
      <c r="V132" s="2" t="s">
        <v>66</v>
      </c>
      <c r="W132" s="2" t="s">
        <v>66</v>
      </c>
      <c r="X132" s="2" t="s">
        <v>65</v>
      </c>
      <c r="Y132" s="2" t="s">
        <v>706</v>
      </c>
      <c r="Z132" s="2" t="s">
        <v>707</v>
      </c>
      <c r="AA132" s="2" t="s">
        <v>91</v>
      </c>
      <c r="AB132" s="2" t="s">
        <v>70</v>
      </c>
      <c r="AC132" s="2" t="s">
        <v>71</v>
      </c>
      <c r="AD132" s="2" t="s">
        <v>72</v>
      </c>
      <c r="AE132" s="2"/>
      <c r="AF132" s="2"/>
      <c r="AG132" s="2"/>
      <c r="AH132" s="2" t="s">
        <v>162</v>
      </c>
      <c r="AI132" s="2" t="s">
        <v>708</v>
      </c>
      <c r="AJ132" s="2" t="s">
        <v>720</v>
      </c>
      <c r="AK132" s="2" t="s">
        <v>704</v>
      </c>
      <c r="AL132" s="2" t="s">
        <v>721</v>
      </c>
      <c r="AM132" s="2" t="s">
        <v>704</v>
      </c>
      <c r="AN132" s="2" t="s">
        <v>722</v>
      </c>
      <c r="AO132" s="2"/>
      <c r="AP132" s="2" t="s">
        <v>723</v>
      </c>
      <c r="AQ132" s="2" t="s">
        <v>218</v>
      </c>
      <c r="AR132" s="2" t="s">
        <v>219</v>
      </c>
      <c r="AS132" s="2" t="s">
        <v>721</v>
      </c>
      <c r="AT132" s="2"/>
      <c r="AU132" s="2" t="s">
        <v>724</v>
      </c>
      <c r="AV132" s="2" t="s">
        <v>725</v>
      </c>
      <c r="AW132" s="2" t="s">
        <v>73</v>
      </c>
      <c r="AX132" s="2" t="s">
        <v>726</v>
      </c>
      <c r="AY132" s="2"/>
      <c r="AZ132" s="2" t="s">
        <v>727</v>
      </c>
      <c r="BA132" s="2" t="s">
        <v>728</v>
      </c>
      <c r="BB132" s="2" t="s">
        <v>729</v>
      </c>
      <c r="BC132" s="2" t="s">
        <v>730</v>
      </c>
      <c r="BD132" s="2"/>
      <c r="BE132" s="2"/>
      <c r="BF132" s="2"/>
      <c r="BG132" s="2" t="s">
        <v>90</v>
      </c>
    </row>
    <row r="133" spans="1:59" ht="29" x14ac:dyDescent="0.35">
      <c r="A133" s="6" t="s">
        <v>743</v>
      </c>
      <c r="B133" s="2" t="s">
        <v>703</v>
      </c>
      <c r="C133" s="2" t="s">
        <v>59</v>
      </c>
      <c r="D133" s="2" t="s">
        <v>261</v>
      </c>
      <c r="E133" s="2" t="s">
        <v>262</v>
      </c>
      <c r="F133" s="2" t="s">
        <v>261</v>
      </c>
      <c r="G133" s="2"/>
      <c r="H133" s="2"/>
      <c r="I133" s="2"/>
      <c r="J133" s="2"/>
      <c r="K133" s="2"/>
      <c r="L133" s="2"/>
      <c r="M133" s="2"/>
      <c r="N133" s="2"/>
      <c r="O133" s="2" t="s">
        <v>704</v>
      </c>
      <c r="P133" s="2" t="s">
        <v>63</v>
      </c>
      <c r="Q133" s="2"/>
      <c r="R133" s="2"/>
      <c r="S133" s="2"/>
      <c r="T133" s="2" t="s">
        <v>705</v>
      </c>
      <c r="U133" s="2" t="s">
        <v>65</v>
      </c>
      <c r="V133" s="2" t="s">
        <v>66</v>
      </c>
      <c r="W133" s="2" t="s">
        <v>66</v>
      </c>
      <c r="X133" s="2" t="s">
        <v>65</v>
      </c>
      <c r="Y133" s="2" t="s">
        <v>706</v>
      </c>
      <c r="Z133" s="2" t="s">
        <v>707</v>
      </c>
      <c r="AA133" s="2" t="s">
        <v>91</v>
      </c>
      <c r="AB133" s="2" t="s">
        <v>70</v>
      </c>
      <c r="AC133" s="2" t="s">
        <v>71</v>
      </c>
      <c r="AD133" s="2" t="s">
        <v>72</v>
      </c>
      <c r="AE133" s="2"/>
      <c r="AF133" s="2"/>
      <c r="AG133" s="2"/>
      <c r="AH133" s="2" t="s">
        <v>162</v>
      </c>
      <c r="AI133" s="2" t="s">
        <v>708</v>
      </c>
      <c r="AJ133" s="2" t="s">
        <v>720</v>
      </c>
      <c r="AK133" s="2" t="s">
        <v>704</v>
      </c>
      <c r="AL133" s="2" t="s">
        <v>721</v>
      </c>
      <c r="AM133" s="2" t="s">
        <v>704</v>
      </c>
      <c r="AN133" s="2" t="s">
        <v>722</v>
      </c>
      <c r="AO133" s="2"/>
      <c r="AP133" s="2" t="s">
        <v>723</v>
      </c>
      <c r="AQ133" s="2" t="s">
        <v>218</v>
      </c>
      <c r="AR133" s="2" t="s">
        <v>219</v>
      </c>
      <c r="AS133" s="2" t="s">
        <v>721</v>
      </c>
      <c r="AT133" s="2"/>
      <c r="AU133" s="2" t="s">
        <v>724</v>
      </c>
      <c r="AV133" s="2" t="s">
        <v>725</v>
      </c>
      <c r="AW133" s="2" t="s">
        <v>91</v>
      </c>
      <c r="AX133" s="2" t="s">
        <v>153</v>
      </c>
      <c r="AY133" s="2" t="s">
        <v>153</v>
      </c>
      <c r="AZ133" s="2" t="s">
        <v>154</v>
      </c>
      <c r="BA133" s="2" t="s">
        <v>153</v>
      </c>
      <c r="BB133" s="2" t="s">
        <v>162</v>
      </c>
      <c r="BC133" s="2" t="s">
        <v>731</v>
      </c>
      <c r="BD133" s="2"/>
      <c r="BE133" s="2"/>
      <c r="BF133" s="2"/>
      <c r="BG133" s="2" t="s">
        <v>90</v>
      </c>
    </row>
    <row r="134" spans="1:59" ht="29" x14ac:dyDescent="0.35">
      <c r="A134" s="6" t="s">
        <v>743</v>
      </c>
      <c r="B134" s="2" t="s">
        <v>703</v>
      </c>
      <c r="C134" s="2" t="s">
        <v>59</v>
      </c>
      <c r="D134" s="2" t="s">
        <v>261</v>
      </c>
      <c r="E134" s="2" t="s">
        <v>262</v>
      </c>
      <c r="F134" s="2" t="s">
        <v>261</v>
      </c>
      <c r="G134" s="2"/>
      <c r="H134" s="2"/>
      <c r="I134" s="2"/>
      <c r="J134" s="2"/>
      <c r="K134" s="2"/>
      <c r="L134" s="2"/>
      <c r="M134" s="2"/>
      <c r="N134" s="2"/>
      <c r="O134" s="2" t="s">
        <v>704</v>
      </c>
      <c r="P134" s="2" t="s">
        <v>63</v>
      </c>
      <c r="Q134" s="2"/>
      <c r="R134" s="2"/>
      <c r="S134" s="2"/>
      <c r="T134" s="2" t="s">
        <v>705</v>
      </c>
      <c r="U134" s="2" t="s">
        <v>65</v>
      </c>
      <c r="V134" s="2" t="s">
        <v>66</v>
      </c>
      <c r="W134" s="2" t="s">
        <v>66</v>
      </c>
      <c r="X134" s="2" t="s">
        <v>65</v>
      </c>
      <c r="Y134" s="2" t="s">
        <v>706</v>
      </c>
      <c r="Z134" s="2" t="s">
        <v>707</v>
      </c>
      <c r="AA134" s="2" t="s">
        <v>91</v>
      </c>
      <c r="AB134" s="2" t="s">
        <v>70</v>
      </c>
      <c r="AC134" s="2" t="s">
        <v>71</v>
      </c>
      <c r="AD134" s="2" t="s">
        <v>72</v>
      </c>
      <c r="AE134" s="2"/>
      <c r="AF134" s="2"/>
      <c r="AG134" s="2"/>
      <c r="AH134" s="2" t="s">
        <v>162</v>
      </c>
      <c r="AI134" s="2" t="s">
        <v>708</v>
      </c>
      <c r="AJ134" s="2" t="s">
        <v>720</v>
      </c>
      <c r="AK134" s="2" t="s">
        <v>704</v>
      </c>
      <c r="AL134" s="2" t="s">
        <v>721</v>
      </c>
      <c r="AM134" s="2" t="s">
        <v>704</v>
      </c>
      <c r="AN134" s="2" t="s">
        <v>722</v>
      </c>
      <c r="AO134" s="2"/>
      <c r="AP134" s="2" t="s">
        <v>723</v>
      </c>
      <c r="AQ134" s="2" t="s">
        <v>218</v>
      </c>
      <c r="AR134" s="2" t="s">
        <v>219</v>
      </c>
      <c r="AS134" s="2" t="s">
        <v>721</v>
      </c>
      <c r="AT134" s="2"/>
      <c r="AU134" s="2" t="s">
        <v>724</v>
      </c>
      <c r="AV134" s="2" t="s">
        <v>725</v>
      </c>
      <c r="AW134" s="2" t="s">
        <v>88</v>
      </c>
      <c r="AX134" s="2" t="s">
        <v>224</v>
      </c>
      <c r="AY134" s="2"/>
      <c r="AZ134" s="2" t="s">
        <v>161</v>
      </c>
      <c r="BA134" s="2" t="s">
        <v>225</v>
      </c>
      <c r="BB134" s="2" t="s">
        <v>732</v>
      </c>
      <c r="BC134" s="2" t="s">
        <v>733</v>
      </c>
      <c r="BD134" s="2"/>
      <c r="BE134" s="2"/>
      <c r="BF134" s="2"/>
      <c r="BG134" s="2" t="s">
        <v>90</v>
      </c>
    </row>
    <row r="135" spans="1:59" ht="29" x14ac:dyDescent="0.35">
      <c r="A135" s="6" t="s">
        <v>743</v>
      </c>
      <c r="B135" s="2" t="s">
        <v>703</v>
      </c>
      <c r="C135" s="2" t="s">
        <v>59</v>
      </c>
      <c r="D135" s="2" t="s">
        <v>261</v>
      </c>
      <c r="E135" s="2" t="s">
        <v>262</v>
      </c>
      <c r="F135" s="2" t="s">
        <v>261</v>
      </c>
      <c r="G135" s="2"/>
      <c r="H135" s="2"/>
      <c r="I135" s="2"/>
      <c r="J135" s="2"/>
      <c r="K135" s="2"/>
      <c r="L135" s="2"/>
      <c r="M135" s="2"/>
      <c r="N135" s="2"/>
      <c r="O135" s="2" t="s">
        <v>704</v>
      </c>
      <c r="P135" s="2" t="s">
        <v>63</v>
      </c>
      <c r="Q135" s="2"/>
      <c r="R135" s="2"/>
      <c r="S135" s="2"/>
      <c r="T135" s="2" t="s">
        <v>705</v>
      </c>
      <c r="U135" s="2" t="s">
        <v>65</v>
      </c>
      <c r="V135" s="2" t="s">
        <v>66</v>
      </c>
      <c r="W135" s="2" t="s">
        <v>66</v>
      </c>
      <c r="X135" s="2" t="s">
        <v>65</v>
      </c>
      <c r="Y135" s="2" t="s">
        <v>706</v>
      </c>
      <c r="Z135" s="2" t="s">
        <v>707</v>
      </c>
      <c r="AA135" s="2" t="s">
        <v>91</v>
      </c>
      <c r="AB135" s="2" t="s">
        <v>70</v>
      </c>
      <c r="AC135" s="2" t="s">
        <v>71</v>
      </c>
      <c r="AD135" s="2" t="s">
        <v>72</v>
      </c>
      <c r="AE135" s="2"/>
      <c r="AF135" s="2"/>
      <c r="AG135" s="2"/>
      <c r="AH135" s="2" t="s">
        <v>162</v>
      </c>
      <c r="AI135" s="2" t="s">
        <v>708</v>
      </c>
      <c r="AJ135" s="2" t="s">
        <v>720</v>
      </c>
      <c r="AK135" s="2" t="s">
        <v>704</v>
      </c>
      <c r="AL135" s="2" t="s">
        <v>721</v>
      </c>
      <c r="AM135" s="2" t="s">
        <v>704</v>
      </c>
      <c r="AN135" s="2" t="s">
        <v>722</v>
      </c>
      <c r="AO135" s="2"/>
      <c r="AP135" s="2" t="s">
        <v>723</v>
      </c>
      <c r="AQ135" s="2" t="s">
        <v>218</v>
      </c>
      <c r="AR135" s="2" t="s">
        <v>219</v>
      </c>
      <c r="AS135" s="2" t="s">
        <v>721</v>
      </c>
      <c r="AT135" s="2"/>
      <c r="AU135" s="2" t="s">
        <v>724</v>
      </c>
      <c r="AV135" s="2" t="s">
        <v>725</v>
      </c>
      <c r="AW135" s="2" t="s">
        <v>143</v>
      </c>
      <c r="AX135" s="2" t="s">
        <v>160</v>
      </c>
      <c r="AY135" s="2" t="s">
        <v>153</v>
      </c>
      <c r="AZ135" s="2" t="s">
        <v>161</v>
      </c>
      <c r="BA135" s="2" t="s">
        <v>160</v>
      </c>
      <c r="BB135" s="2" t="s">
        <v>162</v>
      </c>
      <c r="BC135" s="2" t="s">
        <v>731</v>
      </c>
      <c r="BD135" s="2"/>
      <c r="BE135" s="2"/>
      <c r="BF135" s="2"/>
      <c r="BG135" s="2" t="s">
        <v>90</v>
      </c>
    </row>
  </sheetData>
  <autoFilter ref="A1:BG135" xr:uid="{15681D96-A322-4848-A721-6FBD2EDCEA8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1022-97F1-420D-91DD-71FFE3FC11B4}">
  <dimension ref="A1:R107"/>
  <sheetViews>
    <sheetView tabSelected="1" topLeftCell="D1" zoomScale="115" zoomScaleNormal="115" workbookViewId="0">
      <selection activeCell="J9" sqref="J9"/>
    </sheetView>
  </sheetViews>
  <sheetFormatPr defaultRowHeight="14.5" x14ac:dyDescent="0.35"/>
  <cols>
    <col min="1" max="1" width="24" customWidth="1"/>
    <col min="3" max="3" width="24.08984375" customWidth="1"/>
    <col min="6" max="6" width="16.54296875" bestFit="1" customWidth="1"/>
    <col min="8" max="8" width="9.90625" bestFit="1" customWidth="1"/>
    <col min="9" max="9" width="13.08984375" bestFit="1" customWidth="1"/>
  </cols>
  <sheetData>
    <row r="1" spans="1:18" x14ac:dyDescent="0.35">
      <c r="H1">
        <v>1300</v>
      </c>
    </row>
    <row r="2" spans="1:18" x14ac:dyDescent="0.35">
      <c r="I2">
        <v>1</v>
      </c>
    </row>
    <row r="3" spans="1:18" x14ac:dyDescent="0.35">
      <c r="A3" t="s">
        <v>734</v>
      </c>
      <c r="B3" t="s">
        <v>0</v>
      </c>
      <c r="C3" t="s">
        <v>48</v>
      </c>
      <c r="D3" t="s">
        <v>52</v>
      </c>
      <c r="E3" t="s">
        <v>32</v>
      </c>
      <c r="F3" t="s">
        <v>45</v>
      </c>
      <c r="G3" t="s">
        <v>745</v>
      </c>
      <c r="H3" t="s">
        <v>748</v>
      </c>
      <c r="I3" t="s">
        <v>750</v>
      </c>
    </row>
    <row r="4" spans="1:18" x14ac:dyDescent="0.35">
      <c r="A4" t="s">
        <v>749</v>
      </c>
      <c r="B4" t="s">
        <v>200</v>
      </c>
      <c r="C4" t="s">
        <v>211</v>
      </c>
      <c r="D4" t="s">
        <v>212</v>
      </c>
      <c r="E4" t="s">
        <v>88</v>
      </c>
      <c r="F4">
        <v>299.37099999999998</v>
      </c>
      <c r="G4" t="str">
        <f>+VLOOKUP(C4,[1]Sheet1!$B:$C,2,0)</f>
        <v>M46</v>
      </c>
      <c r="H4" s="13">
        <f>F4/SUMIFS(F:F,B:B,B4)</f>
        <v>0.11136580664145254</v>
      </c>
      <c r="I4" s="14">
        <f>H4*$H$1</f>
        <v>144.77554863388829</v>
      </c>
      <c r="M4" t="str" cm="1">
        <f t="array" ref="M4:N13">_xlfn.GROUPBY(G:G,I:I,_xleta.SUM)</f>
        <v>BU</v>
      </c>
      <c r="N4">
        <v>0</v>
      </c>
    </row>
    <row r="5" spans="1:18" x14ac:dyDescent="0.35">
      <c r="A5" t="s">
        <v>736</v>
      </c>
      <c r="B5" t="s">
        <v>200</v>
      </c>
      <c r="C5" t="s">
        <v>235</v>
      </c>
      <c r="D5" t="s">
        <v>238</v>
      </c>
      <c r="E5" t="s">
        <v>73</v>
      </c>
      <c r="F5">
        <v>139.70599999999999</v>
      </c>
      <c r="G5" t="str">
        <f>+VLOOKUP(C5,[1]Sheet1!$B:$C,2,0)</f>
        <v>M46</v>
      </c>
      <c r="H5" s="13">
        <f t="shared" ref="H5:H68" si="0">F5/SUMIFS(F:F,B:B,B5)</f>
        <v>5.1970536166331301E-2</v>
      </c>
      <c r="I5" s="14">
        <f t="shared" ref="I5:I68" si="1">H5*$H$1</f>
        <v>67.561697016230696</v>
      </c>
      <c r="M5" t="str">
        <v>m00</v>
      </c>
      <c r="N5">
        <v>6057.0141140206088</v>
      </c>
    </row>
    <row r="6" spans="1:18" x14ac:dyDescent="0.35">
      <c r="A6" t="s">
        <v>736</v>
      </c>
      <c r="B6" t="s">
        <v>200</v>
      </c>
      <c r="C6" t="s">
        <v>160</v>
      </c>
      <c r="D6" t="s">
        <v>214</v>
      </c>
      <c r="E6" t="s">
        <v>214</v>
      </c>
      <c r="F6">
        <v>749.7</v>
      </c>
      <c r="G6" t="s">
        <v>751</v>
      </c>
      <c r="H6" s="13">
        <f t="shared" si="0"/>
        <v>0.27888788573073869</v>
      </c>
      <c r="I6" s="14">
        <f t="shared" si="1"/>
        <v>362.5542514499603</v>
      </c>
      <c r="M6" t="str">
        <v>M01</v>
      </c>
      <c r="N6">
        <v>1502.0115182794923</v>
      </c>
      <c r="O6">
        <f>N6/SUM($N$6:$N$11)</f>
        <v>0.2661731835997328</v>
      </c>
      <c r="P6">
        <f>$N$5*O6</f>
        <v>1612.2147298373804</v>
      </c>
      <c r="Q6">
        <f>N6+P6</f>
        <v>3114.2262481168727</v>
      </c>
      <c r="R6" s="11">
        <f>Q6/SUM($Q$6:$Q$11)</f>
        <v>0.26617318359973285</v>
      </c>
    </row>
    <row r="7" spans="1:18" x14ac:dyDescent="0.35">
      <c r="A7" t="s">
        <v>736</v>
      </c>
      <c r="B7" t="s">
        <v>200</v>
      </c>
      <c r="C7" t="s">
        <v>224</v>
      </c>
      <c r="D7" t="s">
        <v>226</v>
      </c>
      <c r="E7" t="s">
        <v>214</v>
      </c>
      <c r="F7">
        <v>749.7</v>
      </c>
      <c r="G7" t="s">
        <v>751</v>
      </c>
      <c r="H7" s="13">
        <f t="shared" si="0"/>
        <v>0.27888788573073869</v>
      </c>
      <c r="I7" s="14">
        <f t="shared" si="1"/>
        <v>362.5542514499603</v>
      </c>
      <c r="M7" t="str">
        <v>M19</v>
      </c>
      <c r="N7">
        <v>525.19299720390484</v>
      </c>
      <c r="O7">
        <f t="shared" ref="O7:O13" si="2">N7/SUM($N$6:$N$11)</f>
        <v>9.3070053304369252E-2</v>
      </c>
      <c r="P7">
        <f t="shared" ref="P7:P13" si="3">$N$5*O7</f>
        <v>563.72662645721493</v>
      </c>
      <c r="Q7">
        <f t="shared" ref="Q7:Q11" si="4">N7+P7</f>
        <v>1088.9196236611197</v>
      </c>
      <c r="R7" s="11">
        <f t="shared" ref="R7:R13" si="5">Q7/SUM($Q$6:$Q$11)</f>
        <v>9.3070053304369252E-2</v>
      </c>
    </row>
    <row r="8" spans="1:18" x14ac:dyDescent="0.35">
      <c r="A8" t="s">
        <v>736</v>
      </c>
      <c r="B8" t="s">
        <v>200</v>
      </c>
      <c r="C8" t="s">
        <v>153</v>
      </c>
      <c r="D8" t="s">
        <v>214</v>
      </c>
      <c r="E8" t="s">
        <v>214</v>
      </c>
      <c r="F8">
        <v>749.7</v>
      </c>
      <c r="G8" t="s">
        <v>751</v>
      </c>
      <c r="H8" s="13">
        <f t="shared" si="0"/>
        <v>0.27888788573073869</v>
      </c>
      <c r="I8" s="14">
        <f t="shared" si="1"/>
        <v>362.5542514499603</v>
      </c>
      <c r="M8" t="str">
        <v>M23</v>
      </c>
      <c r="N8">
        <v>288.96921990406412</v>
      </c>
      <c r="O8">
        <f t="shared" si="2"/>
        <v>5.120856683729081E-2</v>
      </c>
      <c r="P8">
        <f t="shared" si="3"/>
        <v>310.17101209223813</v>
      </c>
      <c r="Q8">
        <f t="shared" si="4"/>
        <v>599.14023199630219</v>
      </c>
      <c r="R8" s="11">
        <f t="shared" si="5"/>
        <v>5.120856683729081E-2</v>
      </c>
    </row>
    <row r="9" spans="1:18" x14ac:dyDescent="0.35">
      <c r="A9" t="s">
        <v>740</v>
      </c>
      <c r="B9" t="s">
        <v>568</v>
      </c>
      <c r="C9" t="s">
        <v>579</v>
      </c>
      <c r="D9" t="s">
        <v>73</v>
      </c>
      <c r="E9" t="s">
        <v>91</v>
      </c>
      <c r="F9">
        <v>181.43700000000001</v>
      </c>
      <c r="G9" t="s">
        <v>751</v>
      </c>
      <c r="H9" s="13">
        <f t="shared" si="0"/>
        <v>1</v>
      </c>
      <c r="I9" s="14">
        <f t="shared" si="1"/>
        <v>1300</v>
      </c>
      <c r="M9" t="str">
        <v>M45</v>
      </c>
      <c r="N9">
        <v>44.124303692026551</v>
      </c>
      <c r="O9">
        <f t="shared" si="2"/>
        <v>7.8193184572121991E-3</v>
      </c>
      <c r="P9">
        <f t="shared" si="3"/>
        <v>47.361722257356142</v>
      </c>
      <c r="Q9">
        <f t="shared" si="4"/>
        <v>91.486025949382693</v>
      </c>
      <c r="R9" s="11">
        <f t="shared" si="5"/>
        <v>7.8193184572121991E-3</v>
      </c>
    </row>
    <row r="10" spans="1:18" x14ac:dyDescent="0.35">
      <c r="A10" t="s">
        <v>737</v>
      </c>
      <c r="B10" t="s">
        <v>240</v>
      </c>
      <c r="C10" t="s">
        <v>258</v>
      </c>
      <c r="D10" t="s">
        <v>256</v>
      </c>
      <c r="E10" t="s">
        <v>73</v>
      </c>
      <c r="F10">
        <v>51.256</v>
      </c>
      <c r="G10" t="str">
        <f>+VLOOKUP(C10,[1]Sheet1!$B:$C,2,0)</f>
        <v>M46</v>
      </c>
      <c r="H10" s="13">
        <f t="shared" si="0"/>
        <v>0.5</v>
      </c>
      <c r="I10" s="14">
        <f t="shared" si="1"/>
        <v>650</v>
      </c>
      <c r="M10" t="str">
        <v>M46</v>
      </c>
      <c r="N10">
        <v>2090.6684698536114</v>
      </c>
      <c r="O10">
        <f t="shared" si="2"/>
        <v>0.37048975703591691</v>
      </c>
      <c r="P10">
        <f t="shared" si="3"/>
        <v>2244.0616874666148</v>
      </c>
      <c r="Q10">
        <f t="shared" si="4"/>
        <v>4334.7301573202258</v>
      </c>
      <c r="R10" s="11">
        <f t="shared" si="5"/>
        <v>0.37048975703591691</v>
      </c>
    </row>
    <row r="11" spans="1:18" x14ac:dyDescent="0.35">
      <c r="A11" t="s">
        <v>737</v>
      </c>
      <c r="B11" t="s">
        <v>240</v>
      </c>
      <c r="C11" t="s">
        <v>255</v>
      </c>
      <c r="D11" t="s">
        <v>256</v>
      </c>
      <c r="E11" t="s">
        <v>73</v>
      </c>
      <c r="F11">
        <v>51.256</v>
      </c>
      <c r="G11" t="str">
        <f>+VLOOKUP(C11,[1]Sheet1!$B:$C,2,0)</f>
        <v>M46</v>
      </c>
      <c r="H11" s="13">
        <f t="shared" si="0"/>
        <v>0.5</v>
      </c>
      <c r="I11" s="14">
        <f t="shared" si="1"/>
        <v>650</v>
      </c>
      <c r="M11" t="str">
        <v>MCS</v>
      </c>
      <c r="N11">
        <v>1192.0193770462877</v>
      </c>
      <c r="O11">
        <f t="shared" si="2"/>
        <v>0.21123912076547802</v>
      </c>
      <c r="P11">
        <f t="shared" si="3"/>
        <v>1279.4783359098042</v>
      </c>
      <c r="Q11">
        <f t="shared" si="4"/>
        <v>2471.4977129560921</v>
      </c>
      <c r="R11" s="11">
        <f t="shared" si="5"/>
        <v>0.21123912076547804</v>
      </c>
    </row>
    <row r="12" spans="1:18" x14ac:dyDescent="0.35">
      <c r="A12" t="s">
        <v>735</v>
      </c>
      <c r="B12" t="s">
        <v>58</v>
      </c>
      <c r="C12" t="s">
        <v>85</v>
      </c>
      <c r="D12" t="s">
        <v>88</v>
      </c>
      <c r="E12" t="s">
        <v>73</v>
      </c>
      <c r="F12">
        <v>79.739999999999995</v>
      </c>
      <c r="G12" t="str">
        <f>+VLOOKUP(C12,[1]Sheet1!$B:$C,2,0)</f>
        <v>M01</v>
      </c>
      <c r="H12" s="13">
        <f t="shared" si="0"/>
        <v>0.10178838126603607</v>
      </c>
      <c r="I12" s="14">
        <f t="shared" si="1"/>
        <v>132.32489564584688</v>
      </c>
      <c r="M12">
        <v>0</v>
      </c>
      <c r="N12">
        <v>1</v>
      </c>
    </row>
    <row r="13" spans="1:18" x14ac:dyDescent="0.35">
      <c r="A13" t="s">
        <v>735</v>
      </c>
      <c r="B13" t="s">
        <v>58</v>
      </c>
      <c r="C13" t="s">
        <v>173</v>
      </c>
      <c r="D13" t="s">
        <v>176</v>
      </c>
      <c r="E13" t="s">
        <v>91</v>
      </c>
      <c r="F13">
        <v>14.19</v>
      </c>
      <c r="G13" t="str">
        <f>+VLOOKUP(C13,[1]Sheet1!$B:$C,2,0)</f>
        <v>M19</v>
      </c>
      <c r="H13" s="13">
        <f t="shared" si="0"/>
        <v>1.8113583272699421E-2</v>
      </c>
      <c r="I13" s="14">
        <f t="shared" si="1"/>
        <v>23.547658254509248</v>
      </c>
      <c r="M13" t="str">
        <v>Total</v>
      </c>
      <c r="N13">
        <v>11700.999999999995</v>
      </c>
    </row>
    <row r="14" spans="1:18" x14ac:dyDescent="0.35">
      <c r="A14" t="s">
        <v>735</v>
      </c>
      <c r="B14" t="s">
        <v>58</v>
      </c>
      <c r="C14" t="s">
        <v>125</v>
      </c>
      <c r="D14" t="s">
        <v>111</v>
      </c>
      <c r="E14" t="s">
        <v>91</v>
      </c>
      <c r="F14">
        <v>9.9789999999999992</v>
      </c>
      <c r="G14" t="str">
        <f>+VLOOKUP(C14,[1]Sheet1!$B:$C,2,0)</f>
        <v>M45</v>
      </c>
      <c r="H14" s="13">
        <f t="shared" si="0"/>
        <v>1.2738227447376146E-2</v>
      </c>
      <c r="I14" s="14">
        <f t="shared" si="1"/>
        <v>16.559695681588991</v>
      </c>
    </row>
    <row r="15" spans="1:18" x14ac:dyDescent="0.35">
      <c r="A15" t="s">
        <v>735</v>
      </c>
      <c r="B15" t="s">
        <v>58</v>
      </c>
      <c r="C15" t="s">
        <v>138</v>
      </c>
      <c r="D15" t="s">
        <v>141</v>
      </c>
      <c r="E15" t="s">
        <v>73</v>
      </c>
      <c r="F15">
        <v>90.718000000000004</v>
      </c>
      <c r="G15" t="str">
        <f>+VLOOKUP(C15,[1]Sheet1!$B:$C,2,0)</f>
        <v>M46</v>
      </c>
      <c r="H15" s="13">
        <f t="shared" si="0"/>
        <v>0.11580183561189192</v>
      </c>
      <c r="I15" s="14">
        <f t="shared" si="1"/>
        <v>150.54238629545949</v>
      </c>
    </row>
    <row r="16" spans="1:18" x14ac:dyDescent="0.35">
      <c r="A16" t="s">
        <v>735</v>
      </c>
      <c r="B16" t="s">
        <v>58</v>
      </c>
      <c r="C16" t="s">
        <v>108</v>
      </c>
      <c r="D16" t="s">
        <v>111</v>
      </c>
      <c r="E16" t="s">
        <v>73</v>
      </c>
      <c r="F16">
        <v>43.091000000000001</v>
      </c>
      <c r="G16" t="str">
        <f>+VLOOKUP(C16,[1]Sheet1!$B:$C,2,0)</f>
        <v>M19</v>
      </c>
      <c r="H16" s="13">
        <f t="shared" si="0"/>
        <v>5.5005808090478565E-2</v>
      </c>
      <c r="I16" s="14">
        <f t="shared" si="1"/>
        <v>71.507550517622136</v>
      </c>
    </row>
    <row r="17" spans="1:9" x14ac:dyDescent="0.35">
      <c r="A17" t="s">
        <v>735</v>
      </c>
      <c r="B17" t="s">
        <v>58</v>
      </c>
      <c r="C17" t="s">
        <v>196</v>
      </c>
      <c r="D17" t="s">
        <v>91</v>
      </c>
      <c r="E17" t="s">
        <v>73</v>
      </c>
      <c r="F17">
        <v>1.361</v>
      </c>
      <c r="G17" t="s">
        <v>751</v>
      </c>
      <c r="H17" s="13">
        <f t="shared" si="0"/>
        <v>1.7373211299608114E-3</v>
      </c>
      <c r="I17" s="14">
        <f t="shared" si="1"/>
        <v>2.258517468949055</v>
      </c>
    </row>
    <row r="18" spans="1:9" x14ac:dyDescent="0.35">
      <c r="A18" t="s">
        <v>735</v>
      </c>
      <c r="B18" t="s">
        <v>58</v>
      </c>
      <c r="C18" t="s">
        <v>160</v>
      </c>
      <c r="D18" t="s">
        <v>69</v>
      </c>
      <c r="E18" t="s">
        <v>69</v>
      </c>
      <c r="F18">
        <v>181.43700000000001</v>
      </c>
      <c r="G18" t="s">
        <v>751</v>
      </c>
      <c r="H18" s="13">
        <f t="shared" si="0"/>
        <v>0.23160494772718571</v>
      </c>
      <c r="I18" s="14">
        <f t="shared" si="1"/>
        <v>301.08643204534144</v>
      </c>
    </row>
    <row r="19" spans="1:9" x14ac:dyDescent="0.35">
      <c r="A19" t="s">
        <v>735</v>
      </c>
      <c r="B19" t="s">
        <v>58</v>
      </c>
      <c r="C19" t="s">
        <v>156</v>
      </c>
      <c r="D19" t="s">
        <v>158</v>
      </c>
      <c r="E19" t="s">
        <v>69</v>
      </c>
      <c r="F19">
        <v>181.43700000000001</v>
      </c>
      <c r="G19" t="s">
        <v>751</v>
      </c>
      <c r="H19" s="13">
        <f t="shared" si="0"/>
        <v>0.23160494772718571</v>
      </c>
      <c r="I19" s="14">
        <f t="shared" si="1"/>
        <v>301.08643204534144</v>
      </c>
    </row>
    <row r="20" spans="1:9" x14ac:dyDescent="0.35">
      <c r="A20" t="s">
        <v>735</v>
      </c>
      <c r="B20" t="s">
        <v>58</v>
      </c>
      <c r="C20" t="s">
        <v>153</v>
      </c>
      <c r="D20" t="s">
        <v>69</v>
      </c>
      <c r="E20" t="s">
        <v>69</v>
      </c>
      <c r="F20">
        <v>181.43700000000001</v>
      </c>
      <c r="G20" t="s">
        <v>751</v>
      </c>
      <c r="H20" s="13">
        <f t="shared" si="0"/>
        <v>0.23160494772718571</v>
      </c>
      <c r="I20" s="14">
        <f t="shared" si="1"/>
        <v>301.08643204534144</v>
      </c>
    </row>
    <row r="21" spans="1:9" x14ac:dyDescent="0.35">
      <c r="A21" t="s">
        <v>738</v>
      </c>
      <c r="B21" t="s">
        <v>260</v>
      </c>
      <c r="C21" t="s">
        <v>348</v>
      </c>
      <c r="D21" t="s">
        <v>351</v>
      </c>
      <c r="E21" t="s">
        <v>88</v>
      </c>
      <c r="F21">
        <v>498.952</v>
      </c>
      <c r="G21" t="s">
        <v>751</v>
      </c>
      <c r="H21" s="13">
        <f t="shared" si="0"/>
        <v>5.4427343088000561E-2</v>
      </c>
      <c r="I21" s="14">
        <f t="shared" si="1"/>
        <v>70.755546014400736</v>
      </c>
    </row>
    <row r="22" spans="1:9" x14ac:dyDescent="0.35">
      <c r="A22" t="s">
        <v>738</v>
      </c>
      <c r="B22" t="s">
        <v>260</v>
      </c>
      <c r="C22" t="s">
        <v>353</v>
      </c>
      <c r="D22" t="s">
        <v>351</v>
      </c>
      <c r="E22" t="s">
        <v>88</v>
      </c>
      <c r="F22">
        <v>498.952</v>
      </c>
      <c r="G22" t="s">
        <v>751</v>
      </c>
      <c r="H22" s="13">
        <f t="shared" si="0"/>
        <v>5.4427343088000561E-2</v>
      </c>
      <c r="I22" s="14">
        <f t="shared" si="1"/>
        <v>70.755546014400736</v>
      </c>
    </row>
    <row r="23" spans="1:9" x14ac:dyDescent="0.35">
      <c r="A23" t="s">
        <v>738</v>
      </c>
      <c r="B23" t="s">
        <v>260</v>
      </c>
      <c r="C23" t="s">
        <v>354</v>
      </c>
      <c r="D23" t="s">
        <v>355</v>
      </c>
      <c r="E23" t="s">
        <v>88</v>
      </c>
      <c r="F23">
        <v>498.952</v>
      </c>
      <c r="G23" t="s">
        <v>751</v>
      </c>
      <c r="H23" s="13">
        <f t="shared" si="0"/>
        <v>5.4427343088000561E-2</v>
      </c>
      <c r="I23" s="14">
        <f t="shared" si="1"/>
        <v>70.755546014400736</v>
      </c>
    </row>
    <row r="24" spans="1:9" x14ac:dyDescent="0.35">
      <c r="A24" t="s">
        <v>738</v>
      </c>
      <c r="B24" t="s">
        <v>260</v>
      </c>
      <c r="C24" t="s">
        <v>331</v>
      </c>
      <c r="D24" t="s">
        <v>329</v>
      </c>
      <c r="E24" t="s">
        <v>91</v>
      </c>
      <c r="F24">
        <v>3000</v>
      </c>
      <c r="G24" t="str">
        <f>+VLOOKUP(C24,[1]Sheet1!$B:$C,2,0)</f>
        <v>MCS</v>
      </c>
      <c r="H24" s="13">
        <f t="shared" si="0"/>
        <v>0.32724997447450194</v>
      </c>
      <c r="I24" s="14">
        <f t="shared" si="1"/>
        <v>425.42496681685253</v>
      </c>
    </row>
    <row r="25" spans="1:9" x14ac:dyDescent="0.35">
      <c r="A25" t="s">
        <v>738</v>
      </c>
      <c r="B25" t="s">
        <v>260</v>
      </c>
      <c r="C25" t="s">
        <v>323</v>
      </c>
      <c r="D25" t="s">
        <v>321</v>
      </c>
      <c r="E25" t="s">
        <v>91</v>
      </c>
      <c r="F25">
        <v>2000</v>
      </c>
      <c r="G25" t="str">
        <f>+VLOOKUP(C25,[1]Sheet1!$B:$C,2,0)</f>
        <v>M46</v>
      </c>
      <c r="H25" s="13">
        <f t="shared" si="0"/>
        <v>0.21816664964966795</v>
      </c>
      <c r="I25" s="14">
        <f t="shared" si="1"/>
        <v>283.61664454456832</v>
      </c>
    </row>
    <row r="26" spans="1:9" x14ac:dyDescent="0.35">
      <c r="A26" t="s">
        <v>738</v>
      </c>
      <c r="B26" t="s">
        <v>260</v>
      </c>
      <c r="C26" t="s">
        <v>85</v>
      </c>
      <c r="D26" t="s">
        <v>143</v>
      </c>
      <c r="E26" t="s">
        <v>73</v>
      </c>
      <c r="F26">
        <v>106.32</v>
      </c>
      <c r="G26" t="str">
        <f>+VLOOKUP(C26,[1]Sheet1!$B:$C,2,0)</f>
        <v>M01</v>
      </c>
      <c r="H26" s="13">
        <f t="shared" si="0"/>
        <v>1.1597739095376347E-2</v>
      </c>
      <c r="I26" s="14">
        <f t="shared" si="1"/>
        <v>15.077060823989251</v>
      </c>
    </row>
    <row r="27" spans="1:9" x14ac:dyDescent="0.35">
      <c r="A27" t="s">
        <v>738</v>
      </c>
      <c r="B27" t="s">
        <v>260</v>
      </c>
      <c r="C27" t="s">
        <v>272</v>
      </c>
      <c r="D27" t="s">
        <v>143</v>
      </c>
      <c r="E27" t="s">
        <v>73</v>
      </c>
      <c r="F27">
        <v>17</v>
      </c>
      <c r="G27" t="str">
        <f>+VLOOKUP(C27,[1]Sheet1!$B:$C,2,0)</f>
        <v>M23</v>
      </c>
      <c r="H27" s="13">
        <f t="shared" si="0"/>
        <v>1.8544165220221777E-3</v>
      </c>
      <c r="I27" s="14">
        <f t="shared" si="1"/>
        <v>2.410741478628831</v>
      </c>
    </row>
    <row r="28" spans="1:9" x14ac:dyDescent="0.35">
      <c r="A28" t="s">
        <v>738</v>
      </c>
      <c r="B28" t="s">
        <v>260</v>
      </c>
      <c r="C28" t="s">
        <v>296</v>
      </c>
      <c r="D28" t="s">
        <v>294</v>
      </c>
      <c r="E28" t="s">
        <v>73</v>
      </c>
      <c r="F28">
        <v>100</v>
      </c>
      <c r="G28" t="str">
        <f>+VLOOKUP(C28,[1]Sheet1!$B:$C,2,0)</f>
        <v>M19</v>
      </c>
      <c r="H28" s="13">
        <f t="shared" si="0"/>
        <v>1.0908332482483397E-2</v>
      </c>
      <c r="I28" s="14">
        <f t="shared" si="1"/>
        <v>14.180832227228416</v>
      </c>
    </row>
    <row r="29" spans="1:9" x14ac:dyDescent="0.35">
      <c r="A29" t="s">
        <v>738</v>
      </c>
      <c r="B29" t="s">
        <v>260</v>
      </c>
      <c r="C29" t="s">
        <v>283</v>
      </c>
      <c r="D29" t="s">
        <v>73</v>
      </c>
      <c r="E29" t="s">
        <v>73</v>
      </c>
      <c r="F29">
        <v>17</v>
      </c>
      <c r="G29" t="str">
        <f>+VLOOKUP(C29,[1]Sheet1!$B:$C,2,0)</f>
        <v>M45</v>
      </c>
      <c r="H29" s="13">
        <f t="shared" si="0"/>
        <v>1.8544165220221777E-3</v>
      </c>
      <c r="I29" s="14">
        <f t="shared" si="1"/>
        <v>2.410741478628831</v>
      </c>
    </row>
    <row r="30" spans="1:9" x14ac:dyDescent="0.35">
      <c r="A30" t="s">
        <v>738</v>
      </c>
      <c r="B30" t="s">
        <v>260</v>
      </c>
      <c r="C30" t="s">
        <v>173</v>
      </c>
      <c r="D30" t="s">
        <v>176</v>
      </c>
      <c r="E30" t="s">
        <v>91</v>
      </c>
      <c r="F30">
        <v>14.19</v>
      </c>
      <c r="G30" t="str">
        <f>+VLOOKUP(C30,[1]Sheet1!$B:$C,2,0)</f>
        <v>M19</v>
      </c>
      <c r="H30" s="13">
        <f t="shared" si="0"/>
        <v>1.5478923792643941E-3</v>
      </c>
      <c r="I30" s="14">
        <f t="shared" si="1"/>
        <v>2.0122600930437122</v>
      </c>
    </row>
    <row r="31" spans="1:9" x14ac:dyDescent="0.35">
      <c r="A31" t="s">
        <v>738</v>
      </c>
      <c r="B31" t="s">
        <v>260</v>
      </c>
      <c r="C31" t="s">
        <v>378</v>
      </c>
      <c r="D31" t="s">
        <v>141</v>
      </c>
      <c r="E31" t="s">
        <v>73</v>
      </c>
      <c r="F31">
        <v>136.078</v>
      </c>
      <c r="G31" t="str">
        <f>+VLOOKUP(C31,[1]Sheet1!$B:$C,2,0)</f>
        <v>M46</v>
      </c>
      <c r="H31" s="13">
        <f t="shared" si="0"/>
        <v>1.4843840675513758E-2</v>
      </c>
      <c r="I31" s="14">
        <f t="shared" si="1"/>
        <v>19.296992878167885</v>
      </c>
    </row>
    <row r="32" spans="1:9" x14ac:dyDescent="0.35">
      <c r="A32" t="s">
        <v>738</v>
      </c>
      <c r="B32" t="s">
        <v>260</v>
      </c>
      <c r="C32" t="s">
        <v>367</v>
      </c>
      <c r="D32" t="s">
        <v>355</v>
      </c>
      <c r="E32" t="s">
        <v>73</v>
      </c>
      <c r="F32">
        <v>21.42</v>
      </c>
      <c r="G32" t="str">
        <f>+VLOOKUP(C32,[1]Sheet1!$B:$C,2,0)</f>
        <v>M19</v>
      </c>
      <c r="H32" s="13">
        <f t="shared" si="0"/>
        <v>2.3365648177479438E-3</v>
      </c>
      <c r="I32" s="14">
        <f t="shared" si="1"/>
        <v>3.037534263072327</v>
      </c>
    </row>
    <row r="33" spans="1:9" x14ac:dyDescent="0.35">
      <c r="A33" t="s">
        <v>738</v>
      </c>
      <c r="B33" t="s">
        <v>260</v>
      </c>
      <c r="C33" t="s">
        <v>235</v>
      </c>
      <c r="D33" t="s">
        <v>238</v>
      </c>
      <c r="E33" t="s">
        <v>73</v>
      </c>
      <c r="F33">
        <v>30.844000000000001</v>
      </c>
      <c r="G33" t="str">
        <f>+VLOOKUP(C33,[1]Sheet1!$B:$C,2,0)</f>
        <v>M46</v>
      </c>
      <c r="H33" s="13">
        <f t="shared" si="0"/>
        <v>3.3645660708971794E-3</v>
      </c>
      <c r="I33" s="14">
        <f t="shared" si="1"/>
        <v>4.3739358921663332</v>
      </c>
    </row>
    <row r="34" spans="1:9" x14ac:dyDescent="0.35">
      <c r="A34" t="s">
        <v>738</v>
      </c>
      <c r="B34" t="s">
        <v>260</v>
      </c>
      <c r="C34" t="s">
        <v>425</v>
      </c>
      <c r="D34" t="s">
        <v>73</v>
      </c>
      <c r="E34" t="s">
        <v>73</v>
      </c>
      <c r="F34">
        <v>3.629</v>
      </c>
      <c r="G34" t="s">
        <v>751</v>
      </c>
      <c r="H34" s="13">
        <f t="shared" si="0"/>
        <v>3.9586338578932251E-4</v>
      </c>
      <c r="I34" s="14">
        <f t="shared" si="1"/>
        <v>0.51462240152611927</v>
      </c>
    </row>
    <row r="35" spans="1:9" x14ac:dyDescent="0.35">
      <c r="A35" t="s">
        <v>738</v>
      </c>
      <c r="B35" t="s">
        <v>260</v>
      </c>
      <c r="C35" t="s">
        <v>444</v>
      </c>
      <c r="D35" t="s">
        <v>446</v>
      </c>
      <c r="E35" t="s">
        <v>73</v>
      </c>
      <c r="F35">
        <v>1</v>
      </c>
      <c r="G35" t="s">
        <v>751</v>
      </c>
      <c r="H35" s="13">
        <f t="shared" si="0"/>
        <v>1.0908332482483398E-4</v>
      </c>
      <c r="I35" s="14">
        <f t="shared" si="1"/>
        <v>0.14180832227228418</v>
      </c>
    </row>
    <row r="36" spans="1:9" x14ac:dyDescent="0.35">
      <c r="A36" t="s">
        <v>738</v>
      </c>
      <c r="B36" t="s">
        <v>260</v>
      </c>
      <c r="C36" t="s">
        <v>433</v>
      </c>
      <c r="D36" t="s">
        <v>73</v>
      </c>
      <c r="E36" t="s">
        <v>73</v>
      </c>
      <c r="F36">
        <v>3.629</v>
      </c>
      <c r="G36" t="s">
        <v>751</v>
      </c>
      <c r="H36" s="13">
        <f t="shared" si="0"/>
        <v>3.9586338578932251E-4</v>
      </c>
      <c r="I36" s="14">
        <f t="shared" si="1"/>
        <v>0.51462240152611927</v>
      </c>
    </row>
    <row r="37" spans="1:9" x14ac:dyDescent="0.35">
      <c r="A37" t="s">
        <v>738</v>
      </c>
      <c r="B37" t="s">
        <v>260</v>
      </c>
      <c r="C37" t="s">
        <v>160</v>
      </c>
      <c r="D37" t="s">
        <v>381</v>
      </c>
      <c r="E37" t="s">
        <v>381</v>
      </c>
      <c r="F37">
        <v>705.6</v>
      </c>
      <c r="G37" t="s">
        <v>751</v>
      </c>
      <c r="H37" s="13">
        <f t="shared" si="0"/>
        <v>7.6969193996402854E-2</v>
      </c>
      <c r="I37" s="14">
        <f t="shared" si="1"/>
        <v>100.05995219532372</v>
      </c>
    </row>
    <row r="38" spans="1:9" x14ac:dyDescent="0.35">
      <c r="A38" t="s">
        <v>738</v>
      </c>
      <c r="B38" t="s">
        <v>260</v>
      </c>
      <c r="C38" t="s">
        <v>224</v>
      </c>
      <c r="D38" t="s">
        <v>390</v>
      </c>
      <c r="E38" t="s">
        <v>381</v>
      </c>
      <c r="F38">
        <v>705.6</v>
      </c>
      <c r="G38" t="s">
        <v>751</v>
      </c>
      <c r="H38" s="13">
        <f t="shared" si="0"/>
        <v>7.6969193996402854E-2</v>
      </c>
      <c r="I38" s="14">
        <f t="shared" si="1"/>
        <v>100.05995219532372</v>
      </c>
    </row>
    <row r="39" spans="1:9" x14ac:dyDescent="0.35">
      <c r="A39" t="s">
        <v>738</v>
      </c>
      <c r="B39" t="s">
        <v>260</v>
      </c>
      <c r="C39" t="s">
        <v>417</v>
      </c>
      <c r="D39" t="s">
        <v>285</v>
      </c>
      <c r="E39" t="s">
        <v>73</v>
      </c>
      <c r="F39">
        <v>3.629</v>
      </c>
      <c r="G39" t="s">
        <v>751</v>
      </c>
      <c r="H39" s="13">
        <f t="shared" si="0"/>
        <v>3.9586338578932251E-4</v>
      </c>
      <c r="I39" s="14">
        <f t="shared" si="1"/>
        <v>0.51462240152611927</v>
      </c>
    </row>
    <row r="40" spans="1:9" x14ac:dyDescent="0.35">
      <c r="A40" t="s">
        <v>738</v>
      </c>
      <c r="B40" t="s">
        <v>260</v>
      </c>
      <c r="C40" t="s">
        <v>408</v>
      </c>
      <c r="D40" t="s">
        <v>73</v>
      </c>
      <c r="E40" t="s">
        <v>73</v>
      </c>
      <c r="F40">
        <v>3.629</v>
      </c>
      <c r="G40" t="s">
        <v>751</v>
      </c>
      <c r="H40" s="13">
        <f t="shared" si="0"/>
        <v>3.9586338578932251E-4</v>
      </c>
      <c r="I40" s="14">
        <f t="shared" si="1"/>
        <v>0.51462240152611927</v>
      </c>
    </row>
    <row r="41" spans="1:9" x14ac:dyDescent="0.35">
      <c r="A41" t="s">
        <v>738</v>
      </c>
      <c r="B41" t="s">
        <v>260</v>
      </c>
      <c r="C41" t="s">
        <v>310</v>
      </c>
      <c r="D41" t="s">
        <v>162</v>
      </c>
      <c r="E41" t="s">
        <v>73</v>
      </c>
      <c r="F41">
        <v>95.28</v>
      </c>
      <c r="G41" t="str">
        <f>+VLOOKUP(C41,[1]Sheet1!$B:$C,2,0)</f>
        <v>M45</v>
      </c>
      <c r="H41" s="13">
        <f t="shared" si="0"/>
        <v>1.0393459189310181E-2</v>
      </c>
      <c r="I41" s="14">
        <f t="shared" si="1"/>
        <v>13.511496946103236</v>
      </c>
    </row>
    <row r="42" spans="1:9" x14ac:dyDescent="0.35">
      <c r="A42" t="s">
        <v>738</v>
      </c>
      <c r="B42" t="s">
        <v>260</v>
      </c>
      <c r="C42" t="s">
        <v>153</v>
      </c>
      <c r="D42" t="s">
        <v>381</v>
      </c>
      <c r="E42" t="s">
        <v>381</v>
      </c>
      <c r="F42">
        <v>705.6</v>
      </c>
      <c r="G42" t="s">
        <v>751</v>
      </c>
      <c r="H42" s="13">
        <f t="shared" si="0"/>
        <v>7.6969193996402854E-2</v>
      </c>
      <c r="I42" s="14">
        <f t="shared" si="1"/>
        <v>100.05995219532372</v>
      </c>
    </row>
    <row r="43" spans="1:9" x14ac:dyDescent="0.35">
      <c r="A43" t="s">
        <v>739</v>
      </c>
      <c r="B43" t="s">
        <v>448</v>
      </c>
      <c r="C43" t="s">
        <v>331</v>
      </c>
      <c r="D43" t="s">
        <v>329</v>
      </c>
      <c r="E43" t="s">
        <v>88</v>
      </c>
      <c r="F43">
        <v>3000</v>
      </c>
      <c r="G43" s="10" t="str">
        <f>+VLOOKUP(C43,[1]Sheet1!$B:$C,2,0)</f>
        <v>MCS</v>
      </c>
      <c r="H43" s="13">
        <f t="shared" si="0"/>
        <v>0.58968800786879627</v>
      </c>
      <c r="I43" s="14">
        <f t="shared" si="1"/>
        <v>766.5944102294352</v>
      </c>
    </row>
    <row r="44" spans="1:9" x14ac:dyDescent="0.35">
      <c r="A44" t="s">
        <v>739</v>
      </c>
      <c r="B44" t="s">
        <v>448</v>
      </c>
      <c r="C44" t="s">
        <v>496</v>
      </c>
      <c r="D44" t="s">
        <v>73</v>
      </c>
      <c r="E44" t="s">
        <v>453</v>
      </c>
      <c r="F44">
        <v>53.524000000000001</v>
      </c>
      <c r="G44" t="s">
        <v>751</v>
      </c>
      <c r="H44" s="13">
        <f t="shared" si="0"/>
        <v>1.0520820311056485E-2</v>
      </c>
      <c r="I44" s="14">
        <f t="shared" si="1"/>
        <v>13.677066404373431</v>
      </c>
    </row>
    <row r="45" spans="1:9" x14ac:dyDescent="0.35">
      <c r="A45" t="s">
        <v>739</v>
      </c>
      <c r="B45" t="s">
        <v>448</v>
      </c>
      <c r="C45" t="s">
        <v>496</v>
      </c>
      <c r="D45" t="s">
        <v>97</v>
      </c>
      <c r="E45" t="s">
        <v>453</v>
      </c>
      <c r="F45">
        <v>53.524000000000001</v>
      </c>
      <c r="G45" t="s">
        <v>751</v>
      </c>
      <c r="H45" s="13">
        <f t="shared" si="0"/>
        <v>1.0520820311056485E-2</v>
      </c>
      <c r="I45" s="14">
        <f t="shared" si="1"/>
        <v>13.677066404373431</v>
      </c>
    </row>
    <row r="46" spans="1:9" x14ac:dyDescent="0.35">
      <c r="A46" t="s">
        <v>739</v>
      </c>
      <c r="B46" t="s">
        <v>448</v>
      </c>
      <c r="C46" t="s">
        <v>528</v>
      </c>
      <c r="D46" t="s">
        <v>73</v>
      </c>
      <c r="E46" t="s">
        <v>453</v>
      </c>
      <c r="F46">
        <v>53.524000000000001</v>
      </c>
      <c r="G46" t="s">
        <v>751</v>
      </c>
      <c r="H46" s="13">
        <f t="shared" si="0"/>
        <v>1.0520820311056485E-2</v>
      </c>
      <c r="I46" s="14">
        <f t="shared" si="1"/>
        <v>13.677066404373431</v>
      </c>
    </row>
    <row r="47" spans="1:9" x14ac:dyDescent="0.35">
      <c r="A47" t="s">
        <v>739</v>
      </c>
      <c r="B47" t="s">
        <v>448</v>
      </c>
      <c r="C47" t="s">
        <v>528</v>
      </c>
      <c r="D47" t="s">
        <v>113</v>
      </c>
      <c r="E47" t="s">
        <v>453</v>
      </c>
      <c r="F47">
        <v>53.524000000000001</v>
      </c>
      <c r="G47" t="s">
        <v>751</v>
      </c>
      <c r="H47" s="13">
        <f t="shared" si="0"/>
        <v>1.0520820311056485E-2</v>
      </c>
      <c r="I47" s="14">
        <f t="shared" si="1"/>
        <v>13.677066404373431</v>
      </c>
    </row>
    <row r="48" spans="1:9" x14ac:dyDescent="0.35">
      <c r="A48" t="s">
        <v>739</v>
      </c>
      <c r="B48" t="s">
        <v>448</v>
      </c>
      <c r="C48" t="s">
        <v>488</v>
      </c>
      <c r="D48" t="s">
        <v>73</v>
      </c>
      <c r="E48" t="s">
        <v>453</v>
      </c>
      <c r="F48">
        <v>53.524000000000001</v>
      </c>
      <c r="G48" t="s">
        <v>751</v>
      </c>
      <c r="H48" s="13">
        <f t="shared" si="0"/>
        <v>1.0520820311056485E-2</v>
      </c>
      <c r="I48" s="14">
        <f t="shared" si="1"/>
        <v>13.677066404373431</v>
      </c>
    </row>
    <row r="49" spans="1:9" x14ac:dyDescent="0.35">
      <c r="A49" t="s">
        <v>739</v>
      </c>
      <c r="B49" t="s">
        <v>448</v>
      </c>
      <c r="C49" t="s">
        <v>488</v>
      </c>
      <c r="D49" t="s">
        <v>88</v>
      </c>
      <c r="E49" t="s">
        <v>453</v>
      </c>
      <c r="F49">
        <v>53.524000000000001</v>
      </c>
      <c r="G49" t="s">
        <v>751</v>
      </c>
      <c r="H49" s="13">
        <f t="shared" si="0"/>
        <v>1.0520820311056485E-2</v>
      </c>
      <c r="I49" s="14">
        <f t="shared" si="1"/>
        <v>13.677066404373431</v>
      </c>
    </row>
    <row r="50" spans="1:9" x14ac:dyDescent="0.35">
      <c r="A50" t="s">
        <v>739</v>
      </c>
      <c r="B50" t="s">
        <v>448</v>
      </c>
      <c r="C50" t="s">
        <v>484</v>
      </c>
      <c r="D50" t="s">
        <v>73</v>
      </c>
      <c r="E50" t="s">
        <v>453</v>
      </c>
      <c r="F50">
        <v>53.524000000000001</v>
      </c>
      <c r="G50" t="s">
        <v>751</v>
      </c>
      <c r="H50" s="13">
        <f t="shared" si="0"/>
        <v>1.0520820311056485E-2</v>
      </c>
      <c r="I50" s="14">
        <f t="shared" si="1"/>
        <v>13.677066404373431</v>
      </c>
    </row>
    <row r="51" spans="1:9" x14ac:dyDescent="0.35">
      <c r="A51" t="s">
        <v>739</v>
      </c>
      <c r="B51" t="s">
        <v>448</v>
      </c>
      <c r="C51" t="s">
        <v>484</v>
      </c>
      <c r="D51" t="s">
        <v>91</v>
      </c>
      <c r="E51" t="s">
        <v>453</v>
      </c>
      <c r="F51">
        <v>53.524000000000001</v>
      </c>
      <c r="G51" t="s">
        <v>751</v>
      </c>
      <c r="H51" s="13">
        <f t="shared" si="0"/>
        <v>1.0520820311056485E-2</v>
      </c>
      <c r="I51" s="14">
        <f t="shared" si="1"/>
        <v>13.677066404373431</v>
      </c>
    </row>
    <row r="52" spans="1:9" x14ac:dyDescent="0.35">
      <c r="A52" t="s">
        <v>739</v>
      </c>
      <c r="B52" t="s">
        <v>448</v>
      </c>
      <c r="C52" t="s">
        <v>484</v>
      </c>
      <c r="D52" t="s">
        <v>88</v>
      </c>
      <c r="E52" t="s">
        <v>453</v>
      </c>
      <c r="F52">
        <v>53.524000000000001</v>
      </c>
      <c r="G52" t="s">
        <v>751</v>
      </c>
      <c r="H52" s="13">
        <f t="shared" si="0"/>
        <v>1.0520820311056485E-2</v>
      </c>
      <c r="I52" s="14">
        <f t="shared" si="1"/>
        <v>13.677066404373431</v>
      </c>
    </row>
    <row r="53" spans="1:9" x14ac:dyDescent="0.35">
      <c r="A53" t="s">
        <v>739</v>
      </c>
      <c r="B53" t="s">
        <v>448</v>
      </c>
      <c r="C53" t="s">
        <v>484</v>
      </c>
      <c r="D53" t="s">
        <v>162</v>
      </c>
      <c r="E53" t="s">
        <v>453</v>
      </c>
      <c r="F53">
        <v>53.524000000000001</v>
      </c>
      <c r="G53" t="s">
        <v>751</v>
      </c>
      <c r="H53" s="13">
        <f t="shared" si="0"/>
        <v>1.0520820311056485E-2</v>
      </c>
      <c r="I53" s="14">
        <f t="shared" si="1"/>
        <v>13.677066404373431</v>
      </c>
    </row>
    <row r="54" spans="1:9" x14ac:dyDescent="0.35">
      <c r="A54" t="s">
        <v>739</v>
      </c>
      <c r="B54" t="s">
        <v>448</v>
      </c>
      <c r="C54" t="s">
        <v>484</v>
      </c>
      <c r="D54" t="s">
        <v>113</v>
      </c>
      <c r="E54" t="s">
        <v>453</v>
      </c>
      <c r="F54">
        <v>53.524000000000001</v>
      </c>
      <c r="G54" t="s">
        <v>751</v>
      </c>
      <c r="H54" s="13">
        <f t="shared" si="0"/>
        <v>1.0520820311056485E-2</v>
      </c>
      <c r="I54" s="14">
        <f t="shared" si="1"/>
        <v>13.677066404373431</v>
      </c>
    </row>
    <row r="55" spans="1:9" x14ac:dyDescent="0.35">
      <c r="A55" t="s">
        <v>739</v>
      </c>
      <c r="B55" t="s">
        <v>448</v>
      </c>
      <c r="C55" t="s">
        <v>490</v>
      </c>
      <c r="D55" t="s">
        <v>73</v>
      </c>
      <c r="E55" t="s">
        <v>453</v>
      </c>
      <c r="F55">
        <v>53.524000000000001</v>
      </c>
      <c r="G55" t="s">
        <v>751</v>
      </c>
      <c r="H55" s="13">
        <f t="shared" si="0"/>
        <v>1.0520820311056485E-2</v>
      </c>
      <c r="I55" s="14">
        <f t="shared" si="1"/>
        <v>13.677066404373431</v>
      </c>
    </row>
    <row r="56" spans="1:9" x14ac:dyDescent="0.35">
      <c r="A56" t="s">
        <v>739</v>
      </c>
      <c r="B56" t="s">
        <v>448</v>
      </c>
      <c r="C56" t="s">
        <v>490</v>
      </c>
      <c r="D56" t="s">
        <v>91</v>
      </c>
      <c r="E56" t="s">
        <v>453</v>
      </c>
      <c r="F56">
        <v>53.524000000000001</v>
      </c>
      <c r="G56" t="s">
        <v>751</v>
      </c>
      <c r="H56" s="13">
        <f t="shared" si="0"/>
        <v>1.0520820311056485E-2</v>
      </c>
      <c r="I56" s="14">
        <f t="shared" si="1"/>
        <v>13.677066404373431</v>
      </c>
    </row>
    <row r="57" spans="1:9" x14ac:dyDescent="0.35">
      <c r="A57" t="s">
        <v>739</v>
      </c>
      <c r="B57" t="s">
        <v>448</v>
      </c>
      <c r="C57" t="s">
        <v>490</v>
      </c>
      <c r="D57" t="s">
        <v>143</v>
      </c>
      <c r="E57" t="s">
        <v>453</v>
      </c>
      <c r="F57">
        <v>53.524000000000001</v>
      </c>
      <c r="G57" t="s">
        <v>751</v>
      </c>
      <c r="H57" s="13">
        <f t="shared" si="0"/>
        <v>1.0520820311056485E-2</v>
      </c>
      <c r="I57" s="14">
        <f t="shared" si="1"/>
        <v>13.677066404373431</v>
      </c>
    </row>
    <row r="58" spans="1:9" x14ac:dyDescent="0.35">
      <c r="A58" t="s">
        <v>739</v>
      </c>
      <c r="B58" t="s">
        <v>448</v>
      </c>
      <c r="C58" t="s">
        <v>511</v>
      </c>
      <c r="D58" t="s">
        <v>73</v>
      </c>
      <c r="E58" t="s">
        <v>453</v>
      </c>
      <c r="F58">
        <v>53.524000000000001</v>
      </c>
      <c r="G58" t="s">
        <v>751</v>
      </c>
      <c r="H58" s="13">
        <f t="shared" si="0"/>
        <v>1.0520820311056485E-2</v>
      </c>
      <c r="I58" s="14">
        <f t="shared" si="1"/>
        <v>13.677066404373431</v>
      </c>
    </row>
    <row r="59" spans="1:9" x14ac:dyDescent="0.35">
      <c r="A59" t="s">
        <v>739</v>
      </c>
      <c r="B59" t="s">
        <v>448</v>
      </c>
      <c r="C59" t="s">
        <v>480</v>
      </c>
      <c r="D59" t="s">
        <v>73</v>
      </c>
      <c r="E59" t="s">
        <v>453</v>
      </c>
      <c r="F59">
        <v>53.524000000000001</v>
      </c>
      <c r="G59" t="s">
        <v>751</v>
      </c>
      <c r="H59" s="13">
        <f t="shared" si="0"/>
        <v>1.0520820311056485E-2</v>
      </c>
      <c r="I59" s="14">
        <f t="shared" si="1"/>
        <v>13.677066404373431</v>
      </c>
    </row>
    <row r="60" spans="1:9" x14ac:dyDescent="0.35">
      <c r="A60" t="s">
        <v>739</v>
      </c>
      <c r="B60" t="s">
        <v>448</v>
      </c>
      <c r="C60" t="s">
        <v>480</v>
      </c>
      <c r="D60" t="s">
        <v>97</v>
      </c>
      <c r="E60" t="s">
        <v>453</v>
      </c>
      <c r="F60">
        <v>53.524000000000001</v>
      </c>
      <c r="G60" t="s">
        <v>751</v>
      </c>
      <c r="H60" s="13">
        <f t="shared" si="0"/>
        <v>1.0520820311056485E-2</v>
      </c>
      <c r="I60" s="14">
        <f t="shared" si="1"/>
        <v>13.677066404373431</v>
      </c>
    </row>
    <row r="61" spans="1:9" x14ac:dyDescent="0.35">
      <c r="A61" t="s">
        <v>739</v>
      </c>
      <c r="B61" t="s">
        <v>448</v>
      </c>
      <c r="C61" t="s">
        <v>549</v>
      </c>
      <c r="D61" t="s">
        <v>162</v>
      </c>
      <c r="E61" t="s">
        <v>453</v>
      </c>
      <c r="F61">
        <v>53.524000000000001</v>
      </c>
      <c r="G61" t="s">
        <v>751</v>
      </c>
      <c r="H61" s="13">
        <f t="shared" si="0"/>
        <v>1.0520820311056485E-2</v>
      </c>
      <c r="I61" s="14">
        <f t="shared" si="1"/>
        <v>13.677066404373431</v>
      </c>
    </row>
    <row r="62" spans="1:9" x14ac:dyDescent="0.35">
      <c r="A62" t="s">
        <v>739</v>
      </c>
      <c r="B62" t="s">
        <v>448</v>
      </c>
      <c r="C62" t="s">
        <v>516</v>
      </c>
      <c r="D62" t="s">
        <v>73</v>
      </c>
      <c r="E62" t="s">
        <v>453</v>
      </c>
      <c r="F62">
        <v>53.524000000000001</v>
      </c>
      <c r="G62" t="s">
        <v>751</v>
      </c>
      <c r="H62" s="13">
        <f t="shared" si="0"/>
        <v>1.0520820311056485E-2</v>
      </c>
      <c r="I62" s="14">
        <f t="shared" si="1"/>
        <v>13.677066404373431</v>
      </c>
    </row>
    <row r="63" spans="1:9" x14ac:dyDescent="0.35">
      <c r="A63" t="s">
        <v>739</v>
      </c>
      <c r="B63" t="s">
        <v>448</v>
      </c>
      <c r="C63" t="s">
        <v>516</v>
      </c>
      <c r="D63" t="s">
        <v>91</v>
      </c>
      <c r="E63" t="s">
        <v>453</v>
      </c>
      <c r="F63">
        <v>53.524000000000001</v>
      </c>
      <c r="G63" t="s">
        <v>751</v>
      </c>
      <c r="H63" s="13">
        <f t="shared" si="0"/>
        <v>1.0520820311056485E-2</v>
      </c>
      <c r="I63" s="14">
        <f t="shared" si="1"/>
        <v>13.677066404373431</v>
      </c>
    </row>
    <row r="64" spans="1:9" x14ac:dyDescent="0.35">
      <c r="A64" t="s">
        <v>739</v>
      </c>
      <c r="B64" t="s">
        <v>448</v>
      </c>
      <c r="C64" t="s">
        <v>516</v>
      </c>
      <c r="D64" t="s">
        <v>88</v>
      </c>
      <c r="E64" t="s">
        <v>453</v>
      </c>
      <c r="F64">
        <v>53.524000000000001</v>
      </c>
      <c r="G64" t="s">
        <v>751</v>
      </c>
      <c r="H64" s="13">
        <f t="shared" si="0"/>
        <v>1.0520820311056485E-2</v>
      </c>
      <c r="I64" s="14">
        <f t="shared" si="1"/>
        <v>13.677066404373431</v>
      </c>
    </row>
    <row r="65" spans="1:9" x14ac:dyDescent="0.35">
      <c r="A65" t="s">
        <v>739</v>
      </c>
      <c r="B65" t="s">
        <v>448</v>
      </c>
      <c r="C65" t="s">
        <v>516</v>
      </c>
      <c r="D65" t="s">
        <v>143</v>
      </c>
      <c r="E65" t="s">
        <v>453</v>
      </c>
      <c r="F65">
        <v>53.524000000000001</v>
      </c>
      <c r="G65" t="s">
        <v>751</v>
      </c>
      <c r="H65" s="13">
        <f t="shared" si="0"/>
        <v>1.0520820311056485E-2</v>
      </c>
      <c r="I65" s="14">
        <f t="shared" si="1"/>
        <v>13.677066404373431</v>
      </c>
    </row>
    <row r="66" spans="1:9" x14ac:dyDescent="0.35">
      <c r="A66" t="s">
        <v>739</v>
      </c>
      <c r="B66" t="s">
        <v>448</v>
      </c>
      <c r="C66" t="s">
        <v>516</v>
      </c>
      <c r="D66" t="s">
        <v>69</v>
      </c>
      <c r="E66" t="s">
        <v>453</v>
      </c>
      <c r="F66">
        <v>53.524000000000001</v>
      </c>
      <c r="G66" t="s">
        <v>751</v>
      </c>
      <c r="H66" s="13">
        <f t="shared" si="0"/>
        <v>1.0520820311056485E-2</v>
      </c>
      <c r="I66" s="14">
        <f t="shared" si="1"/>
        <v>13.677066404373431</v>
      </c>
    </row>
    <row r="67" spans="1:9" x14ac:dyDescent="0.35">
      <c r="A67" t="s">
        <v>739</v>
      </c>
      <c r="B67" t="s">
        <v>448</v>
      </c>
      <c r="C67" t="s">
        <v>516</v>
      </c>
      <c r="D67" t="s">
        <v>162</v>
      </c>
      <c r="E67" t="s">
        <v>453</v>
      </c>
      <c r="F67">
        <v>53.524000000000001</v>
      </c>
      <c r="G67" t="s">
        <v>751</v>
      </c>
      <c r="H67" s="13">
        <f t="shared" si="0"/>
        <v>1.0520820311056485E-2</v>
      </c>
      <c r="I67" s="14">
        <f t="shared" si="1"/>
        <v>13.677066404373431</v>
      </c>
    </row>
    <row r="68" spans="1:9" x14ac:dyDescent="0.35">
      <c r="A68" t="s">
        <v>739</v>
      </c>
      <c r="B68" t="s">
        <v>448</v>
      </c>
      <c r="C68" t="s">
        <v>554</v>
      </c>
      <c r="D68" t="s">
        <v>73</v>
      </c>
      <c r="E68" t="s">
        <v>453</v>
      </c>
      <c r="F68">
        <v>53.524000000000001</v>
      </c>
      <c r="G68" t="s">
        <v>751</v>
      </c>
      <c r="H68" s="13">
        <f t="shared" si="0"/>
        <v>1.0520820311056485E-2</v>
      </c>
      <c r="I68" s="14">
        <f t="shared" si="1"/>
        <v>13.677066404373431</v>
      </c>
    </row>
    <row r="69" spans="1:9" x14ac:dyDescent="0.35">
      <c r="A69" t="s">
        <v>739</v>
      </c>
      <c r="B69" t="s">
        <v>448</v>
      </c>
      <c r="C69" t="s">
        <v>554</v>
      </c>
      <c r="D69" t="s">
        <v>285</v>
      </c>
      <c r="E69" t="s">
        <v>453</v>
      </c>
      <c r="F69">
        <v>53.524000000000001</v>
      </c>
      <c r="G69" t="s">
        <v>751</v>
      </c>
      <c r="H69" s="13">
        <f t="shared" ref="H69:H107" si="6">F69/SUMIFS(F:F,B:B,B69)</f>
        <v>1.0520820311056485E-2</v>
      </c>
      <c r="I69" s="14">
        <f t="shared" ref="I69:I107" si="7">H69*$H$1</f>
        <v>13.677066404373431</v>
      </c>
    </row>
    <row r="70" spans="1:9" x14ac:dyDescent="0.35">
      <c r="A70" t="s">
        <v>739</v>
      </c>
      <c r="B70" t="s">
        <v>448</v>
      </c>
      <c r="C70" t="s">
        <v>468</v>
      </c>
      <c r="D70" t="s">
        <v>73</v>
      </c>
      <c r="E70" t="s">
        <v>453</v>
      </c>
      <c r="F70">
        <v>53.524000000000001</v>
      </c>
      <c r="G70" t="s">
        <v>751</v>
      </c>
      <c r="H70" s="13">
        <f t="shared" si="6"/>
        <v>1.0520820311056485E-2</v>
      </c>
      <c r="I70" s="14">
        <f t="shared" si="7"/>
        <v>13.677066404373431</v>
      </c>
    </row>
    <row r="71" spans="1:9" x14ac:dyDescent="0.35">
      <c r="A71" t="s">
        <v>739</v>
      </c>
      <c r="B71" t="s">
        <v>448</v>
      </c>
      <c r="C71" t="s">
        <v>468</v>
      </c>
      <c r="D71" t="s">
        <v>113</v>
      </c>
      <c r="E71" t="s">
        <v>453</v>
      </c>
      <c r="F71">
        <v>53.524000000000001</v>
      </c>
      <c r="G71" t="s">
        <v>751</v>
      </c>
      <c r="H71" s="13">
        <f t="shared" si="6"/>
        <v>1.0520820311056485E-2</v>
      </c>
      <c r="I71" s="14">
        <f t="shared" si="7"/>
        <v>13.677066404373431</v>
      </c>
    </row>
    <row r="72" spans="1:9" x14ac:dyDescent="0.35">
      <c r="A72" t="s">
        <v>739</v>
      </c>
      <c r="B72" t="s">
        <v>448</v>
      </c>
      <c r="C72" t="s">
        <v>541</v>
      </c>
      <c r="D72" t="s">
        <v>73</v>
      </c>
      <c r="E72" t="s">
        <v>453</v>
      </c>
      <c r="F72">
        <v>53.524000000000001</v>
      </c>
      <c r="G72" t="s">
        <v>751</v>
      </c>
      <c r="H72" s="13">
        <f t="shared" si="6"/>
        <v>1.0520820311056485E-2</v>
      </c>
      <c r="I72" s="14">
        <f t="shared" si="7"/>
        <v>13.677066404373431</v>
      </c>
    </row>
    <row r="73" spans="1:9" x14ac:dyDescent="0.35">
      <c r="A73" t="s">
        <v>739</v>
      </c>
      <c r="B73" t="s">
        <v>448</v>
      </c>
      <c r="C73" t="s">
        <v>501</v>
      </c>
      <c r="D73" t="s">
        <v>73</v>
      </c>
      <c r="E73" t="s">
        <v>453</v>
      </c>
      <c r="F73">
        <v>53.524000000000001</v>
      </c>
      <c r="G73" t="s">
        <v>751</v>
      </c>
      <c r="H73" s="13">
        <f t="shared" si="6"/>
        <v>1.0520820311056485E-2</v>
      </c>
      <c r="I73" s="14">
        <f t="shared" si="7"/>
        <v>13.677066404373431</v>
      </c>
    </row>
    <row r="74" spans="1:9" x14ac:dyDescent="0.35">
      <c r="A74" t="s">
        <v>739</v>
      </c>
      <c r="B74" t="s">
        <v>448</v>
      </c>
      <c r="C74" t="s">
        <v>501</v>
      </c>
      <c r="D74" t="s">
        <v>91</v>
      </c>
      <c r="E74" t="s">
        <v>453</v>
      </c>
      <c r="F74">
        <v>53.524000000000001</v>
      </c>
      <c r="G74" t="s">
        <v>751</v>
      </c>
      <c r="H74" s="13">
        <f t="shared" si="6"/>
        <v>1.0520820311056485E-2</v>
      </c>
      <c r="I74" s="14">
        <f t="shared" si="7"/>
        <v>13.677066404373431</v>
      </c>
    </row>
    <row r="75" spans="1:9" x14ac:dyDescent="0.35">
      <c r="A75" t="s">
        <v>739</v>
      </c>
      <c r="B75" t="s">
        <v>448</v>
      </c>
      <c r="C75" t="s">
        <v>501</v>
      </c>
      <c r="D75" t="s">
        <v>178</v>
      </c>
      <c r="E75" t="s">
        <v>453</v>
      </c>
      <c r="F75">
        <v>53.524000000000001</v>
      </c>
      <c r="G75" t="s">
        <v>751</v>
      </c>
      <c r="H75" s="13">
        <f t="shared" si="6"/>
        <v>1.0520820311056485E-2</v>
      </c>
      <c r="I75" s="14">
        <f t="shared" si="7"/>
        <v>13.677066404373431</v>
      </c>
    </row>
    <row r="76" spans="1:9" x14ac:dyDescent="0.35">
      <c r="A76" t="s">
        <v>739</v>
      </c>
      <c r="B76" t="s">
        <v>448</v>
      </c>
      <c r="C76" t="s">
        <v>476</v>
      </c>
      <c r="D76" t="s">
        <v>73</v>
      </c>
      <c r="E76" t="s">
        <v>453</v>
      </c>
      <c r="F76">
        <v>53.524000000000001</v>
      </c>
      <c r="G76" t="s">
        <v>751</v>
      </c>
      <c r="H76" s="13">
        <f t="shared" si="6"/>
        <v>1.0520820311056485E-2</v>
      </c>
      <c r="I76" s="14">
        <f t="shared" si="7"/>
        <v>13.677066404373431</v>
      </c>
    </row>
    <row r="77" spans="1:9" x14ac:dyDescent="0.35">
      <c r="A77" t="s">
        <v>739</v>
      </c>
      <c r="B77" t="s">
        <v>448</v>
      </c>
      <c r="C77" t="s">
        <v>464</v>
      </c>
      <c r="D77" t="s">
        <v>73</v>
      </c>
      <c r="E77" t="s">
        <v>453</v>
      </c>
      <c r="F77">
        <v>53.524000000000001</v>
      </c>
      <c r="G77" t="s">
        <v>751</v>
      </c>
      <c r="H77" s="13">
        <f t="shared" si="6"/>
        <v>1.0520820311056485E-2</v>
      </c>
      <c r="I77" s="14">
        <f t="shared" si="7"/>
        <v>13.677066404373431</v>
      </c>
    </row>
    <row r="78" spans="1:9" x14ac:dyDescent="0.35">
      <c r="A78" t="s">
        <v>739</v>
      </c>
      <c r="B78" t="s">
        <v>448</v>
      </c>
      <c r="C78" t="s">
        <v>464</v>
      </c>
      <c r="D78" t="s">
        <v>69</v>
      </c>
      <c r="E78" t="s">
        <v>453</v>
      </c>
      <c r="F78">
        <v>53.524000000000001</v>
      </c>
      <c r="G78" t="s">
        <v>751</v>
      </c>
      <c r="H78" s="13">
        <f t="shared" si="6"/>
        <v>1.0520820311056485E-2</v>
      </c>
      <c r="I78" s="14">
        <f t="shared" si="7"/>
        <v>13.677066404373431</v>
      </c>
    </row>
    <row r="79" spans="1:9" x14ac:dyDescent="0.35">
      <c r="A79" t="s">
        <v>739</v>
      </c>
      <c r="B79" t="s">
        <v>448</v>
      </c>
      <c r="C79" t="s">
        <v>472</v>
      </c>
      <c r="D79" t="s">
        <v>73</v>
      </c>
      <c r="E79" t="s">
        <v>453</v>
      </c>
      <c r="F79">
        <v>53.524000000000001</v>
      </c>
      <c r="G79" t="s">
        <v>751</v>
      </c>
      <c r="H79" s="13">
        <f t="shared" si="6"/>
        <v>1.0520820311056485E-2</v>
      </c>
      <c r="I79" s="14">
        <f t="shared" si="7"/>
        <v>13.677066404373431</v>
      </c>
    </row>
    <row r="80" spans="1:9" x14ac:dyDescent="0.35">
      <c r="A80" t="s">
        <v>739</v>
      </c>
      <c r="B80" t="s">
        <v>448</v>
      </c>
      <c r="C80" t="s">
        <v>472</v>
      </c>
      <c r="D80" t="s">
        <v>143</v>
      </c>
      <c r="E80" t="s">
        <v>453</v>
      </c>
      <c r="F80">
        <v>53.524000000000001</v>
      </c>
      <c r="G80" t="s">
        <v>751</v>
      </c>
      <c r="H80" s="13">
        <f t="shared" si="6"/>
        <v>1.0520820311056485E-2</v>
      </c>
      <c r="I80" s="14">
        <f t="shared" si="7"/>
        <v>13.677066404373431</v>
      </c>
    </row>
    <row r="81" spans="1:9" x14ac:dyDescent="0.35">
      <c r="A81" t="s">
        <v>739</v>
      </c>
      <c r="B81" t="s">
        <v>448</v>
      </c>
      <c r="C81" t="s">
        <v>507</v>
      </c>
      <c r="D81" t="s">
        <v>73</v>
      </c>
      <c r="E81" t="s">
        <v>453</v>
      </c>
      <c r="F81">
        <v>53.524000000000001</v>
      </c>
      <c r="G81" t="s">
        <v>751</v>
      </c>
      <c r="H81" s="13">
        <f t="shared" si="6"/>
        <v>1.0520820311056485E-2</v>
      </c>
      <c r="I81" s="14">
        <f t="shared" si="7"/>
        <v>13.677066404373431</v>
      </c>
    </row>
    <row r="82" spans="1:9" x14ac:dyDescent="0.35">
      <c r="A82" t="s">
        <v>739</v>
      </c>
      <c r="B82" t="s">
        <v>448</v>
      </c>
      <c r="C82" t="s">
        <v>507</v>
      </c>
      <c r="D82" t="s">
        <v>143</v>
      </c>
      <c r="E82" t="s">
        <v>453</v>
      </c>
      <c r="F82">
        <v>53.524000000000001</v>
      </c>
      <c r="G82" t="s">
        <v>751</v>
      </c>
      <c r="H82" s="13">
        <f t="shared" si="6"/>
        <v>1.0520820311056485E-2</v>
      </c>
      <c r="I82" s="14">
        <f t="shared" si="7"/>
        <v>13.677066404373431</v>
      </c>
    </row>
    <row r="83" spans="1:9" x14ac:dyDescent="0.35">
      <c r="A83" t="s">
        <v>741</v>
      </c>
      <c r="B83" t="s">
        <v>583</v>
      </c>
      <c r="C83" t="s">
        <v>597</v>
      </c>
      <c r="D83" t="s">
        <v>69</v>
      </c>
      <c r="E83" t="s">
        <v>73</v>
      </c>
      <c r="F83">
        <v>20</v>
      </c>
      <c r="G83" t="str">
        <f>+VLOOKUP(C83,[1]Sheet1!$B:$C,2,0)</f>
        <v>M01</v>
      </c>
      <c r="H83" s="13">
        <f t="shared" si="6"/>
        <v>1</v>
      </c>
      <c r="I83" s="14">
        <f t="shared" si="7"/>
        <v>1300</v>
      </c>
    </row>
    <row r="84" spans="1:9" x14ac:dyDescent="0.35">
      <c r="A84" t="s">
        <v>742</v>
      </c>
      <c r="B84" t="s">
        <v>601</v>
      </c>
      <c r="C84" t="s">
        <v>85</v>
      </c>
      <c r="D84" t="s">
        <v>88</v>
      </c>
      <c r="E84" t="s">
        <v>73</v>
      </c>
      <c r="F84">
        <v>79.739999999999995</v>
      </c>
      <c r="G84" t="str">
        <f>+VLOOKUP(C84,[1]Sheet1!$B:$C,2,0)</f>
        <v>M01</v>
      </c>
      <c r="H84" s="13">
        <f t="shared" si="6"/>
        <v>4.2007355238197083E-2</v>
      </c>
      <c r="I84" s="14">
        <f t="shared" si="7"/>
        <v>54.609561809656206</v>
      </c>
    </row>
    <row r="85" spans="1:9" x14ac:dyDescent="0.35">
      <c r="A85" t="s">
        <v>742</v>
      </c>
      <c r="B85" t="s">
        <v>601</v>
      </c>
      <c r="C85" t="s">
        <v>630</v>
      </c>
      <c r="D85" t="s">
        <v>618</v>
      </c>
      <c r="E85" t="s">
        <v>91</v>
      </c>
      <c r="F85">
        <v>300</v>
      </c>
      <c r="G85" t="str">
        <f>+VLOOKUP(C85,[1]Sheet1!$B:$C,2,0)</f>
        <v>M19</v>
      </c>
      <c r="H85" s="13">
        <f t="shared" si="6"/>
        <v>0.15804121609554961</v>
      </c>
      <c r="I85" s="14">
        <f t="shared" si="7"/>
        <v>205.45358092421449</v>
      </c>
    </row>
    <row r="86" spans="1:9" x14ac:dyDescent="0.35">
      <c r="A86" t="s">
        <v>742</v>
      </c>
      <c r="B86" t="s">
        <v>601</v>
      </c>
      <c r="C86" t="s">
        <v>296</v>
      </c>
      <c r="D86" t="s">
        <v>618</v>
      </c>
      <c r="E86" t="s">
        <v>91</v>
      </c>
      <c r="F86">
        <v>300</v>
      </c>
      <c r="G86" t="str">
        <f>+VLOOKUP(C86,[1]Sheet1!$B:$C,2,0)</f>
        <v>M19</v>
      </c>
      <c r="H86" s="13">
        <f t="shared" si="6"/>
        <v>0.15804121609554961</v>
      </c>
      <c r="I86" s="14">
        <f t="shared" si="7"/>
        <v>205.45358092421449</v>
      </c>
    </row>
    <row r="87" spans="1:9" x14ac:dyDescent="0.35">
      <c r="A87" t="s">
        <v>742</v>
      </c>
      <c r="B87" t="s">
        <v>601</v>
      </c>
      <c r="C87" t="s">
        <v>283</v>
      </c>
      <c r="D87" t="s">
        <v>73</v>
      </c>
      <c r="E87" t="s">
        <v>73</v>
      </c>
      <c r="F87">
        <v>17</v>
      </c>
      <c r="G87" t="str">
        <f>+VLOOKUP(C87,[1]Sheet1!$B:$C,2,0)</f>
        <v>M45</v>
      </c>
      <c r="H87" s="13">
        <f t="shared" si="6"/>
        <v>8.9556689120811449E-3</v>
      </c>
      <c r="I87" s="14">
        <f t="shared" si="7"/>
        <v>11.642369585705488</v>
      </c>
    </row>
    <row r="88" spans="1:9" x14ac:dyDescent="0.35">
      <c r="A88" t="s">
        <v>742</v>
      </c>
      <c r="B88" t="s">
        <v>601</v>
      </c>
      <c r="C88" t="s">
        <v>641</v>
      </c>
      <c r="D88" t="s">
        <v>644</v>
      </c>
      <c r="E88" t="s">
        <v>73</v>
      </c>
      <c r="F88">
        <v>31.751000000000001</v>
      </c>
      <c r="G88" t="str">
        <f>+VLOOKUP(C88,[1]Sheet1!$B:$C,2,0)</f>
        <v>M46</v>
      </c>
      <c r="H88" s="13">
        <f t="shared" si="6"/>
        <v>1.6726555507499321E-2</v>
      </c>
      <c r="I88" s="14">
        <f t="shared" si="7"/>
        <v>21.744522159749117</v>
      </c>
    </row>
    <row r="89" spans="1:9" x14ac:dyDescent="0.35">
      <c r="A89" t="s">
        <v>742</v>
      </c>
      <c r="B89" t="s">
        <v>601</v>
      </c>
      <c r="C89" t="s">
        <v>619</v>
      </c>
      <c r="D89" t="s">
        <v>622</v>
      </c>
      <c r="E89" t="s">
        <v>73</v>
      </c>
      <c r="F89">
        <v>68.039000000000001</v>
      </c>
      <c r="G89" t="str">
        <f>+VLOOKUP(C89,[1]Sheet1!$B:$C,2,0)</f>
        <v>M46</v>
      </c>
      <c r="H89" s="13">
        <f t="shared" si="6"/>
        <v>3.5843221006417E-2</v>
      </c>
      <c r="I89" s="14">
        <f t="shared" si="7"/>
        <v>46.596187308342103</v>
      </c>
    </row>
    <row r="90" spans="1:9" x14ac:dyDescent="0.35">
      <c r="A90" t="s">
        <v>742</v>
      </c>
      <c r="B90" t="s">
        <v>601</v>
      </c>
      <c r="C90" t="s">
        <v>665</v>
      </c>
      <c r="D90" t="s">
        <v>671</v>
      </c>
      <c r="E90" t="s">
        <v>73</v>
      </c>
      <c r="F90">
        <v>4.0819999999999999</v>
      </c>
      <c r="G90" t="str">
        <f>+VLOOKUP(C90,[1]Sheet1!$B:$C,2,0)</f>
        <v>M46</v>
      </c>
      <c r="H90" s="13">
        <f t="shared" si="6"/>
        <v>2.1504141470067781E-3</v>
      </c>
      <c r="I90" s="14">
        <f t="shared" si="7"/>
        <v>2.7955383911088116</v>
      </c>
    </row>
    <row r="91" spans="1:9" x14ac:dyDescent="0.35">
      <c r="A91" t="s">
        <v>742</v>
      </c>
      <c r="B91" t="s">
        <v>601</v>
      </c>
      <c r="C91" t="s">
        <v>665</v>
      </c>
      <c r="D91" t="s">
        <v>667</v>
      </c>
      <c r="E91" t="s">
        <v>73</v>
      </c>
      <c r="F91">
        <v>4.0819999999999999</v>
      </c>
      <c r="G91" t="str">
        <f>+VLOOKUP(C91,[1]Sheet1!$B:$C,2,0)</f>
        <v>M46</v>
      </c>
      <c r="H91" s="13">
        <f t="shared" si="6"/>
        <v>2.1504141470067781E-3</v>
      </c>
      <c r="I91" s="14">
        <f t="shared" si="7"/>
        <v>2.7955383911088116</v>
      </c>
    </row>
    <row r="92" spans="1:9" x14ac:dyDescent="0.35">
      <c r="A92" t="s">
        <v>742</v>
      </c>
      <c r="B92" t="s">
        <v>601</v>
      </c>
      <c r="C92" t="s">
        <v>235</v>
      </c>
      <c r="D92" t="s">
        <v>238</v>
      </c>
      <c r="E92" t="s">
        <v>73</v>
      </c>
      <c r="F92">
        <v>68</v>
      </c>
      <c r="G92" t="str">
        <f>+VLOOKUP(C92,[1]Sheet1!$B:$C,2,0)</f>
        <v>M46</v>
      </c>
      <c r="H92" s="13">
        <f t="shared" si="6"/>
        <v>3.582267564832458E-2</v>
      </c>
      <c r="I92" s="14">
        <f t="shared" si="7"/>
        <v>46.569478342821952</v>
      </c>
    </row>
    <row r="93" spans="1:9" x14ac:dyDescent="0.35">
      <c r="A93" t="s">
        <v>742</v>
      </c>
      <c r="B93" t="s">
        <v>601</v>
      </c>
      <c r="C93" t="s">
        <v>655</v>
      </c>
      <c r="D93" t="s">
        <v>658</v>
      </c>
      <c r="E93" t="s">
        <v>73</v>
      </c>
      <c r="F93">
        <v>24.948</v>
      </c>
      <c r="G93" t="s">
        <v>751</v>
      </c>
      <c r="H93" s="13">
        <f t="shared" si="6"/>
        <v>1.3142707530505907E-2</v>
      </c>
      <c r="I93" s="14">
        <f t="shared" si="7"/>
        <v>17.085519789657678</v>
      </c>
    </row>
    <row r="94" spans="1:9" x14ac:dyDescent="0.35">
      <c r="A94" t="s">
        <v>742</v>
      </c>
      <c r="B94" t="s">
        <v>601</v>
      </c>
      <c r="C94" t="s">
        <v>701</v>
      </c>
      <c r="D94" t="s">
        <v>73</v>
      </c>
      <c r="E94" t="s">
        <v>73</v>
      </c>
      <c r="F94">
        <v>3.629</v>
      </c>
      <c r="G94" t="s">
        <v>751</v>
      </c>
      <c r="H94" s="13">
        <f t="shared" si="6"/>
        <v>1.9117719107024985E-3</v>
      </c>
      <c r="I94" s="14">
        <f t="shared" si="7"/>
        <v>2.4853034839132482</v>
      </c>
    </row>
    <row r="95" spans="1:9" x14ac:dyDescent="0.35">
      <c r="A95" t="s">
        <v>742</v>
      </c>
      <c r="B95" t="s">
        <v>601</v>
      </c>
      <c r="C95" t="s">
        <v>697</v>
      </c>
      <c r="D95" t="s">
        <v>91</v>
      </c>
      <c r="E95" t="s">
        <v>73</v>
      </c>
      <c r="F95">
        <v>3.629</v>
      </c>
      <c r="G95" t="s">
        <v>751</v>
      </c>
      <c r="H95" s="13">
        <f t="shared" si="6"/>
        <v>1.9117719107024985E-3</v>
      </c>
      <c r="I95" s="14">
        <f t="shared" si="7"/>
        <v>2.4853034839132482</v>
      </c>
    </row>
    <row r="96" spans="1:9" x14ac:dyDescent="0.35">
      <c r="A96" t="s">
        <v>742</v>
      </c>
      <c r="B96" t="s">
        <v>601</v>
      </c>
      <c r="C96" t="s">
        <v>160</v>
      </c>
      <c r="D96" t="s">
        <v>73</v>
      </c>
      <c r="E96" t="s">
        <v>73</v>
      </c>
      <c r="F96">
        <v>90.718000000000004</v>
      </c>
      <c r="G96" t="s">
        <v>751</v>
      </c>
      <c r="H96" s="13">
        <f t="shared" si="6"/>
        <v>4.7790610139186902E-2</v>
      </c>
      <c r="I96" s="14">
        <f t="shared" si="7"/>
        <v>62.127793180942973</v>
      </c>
    </row>
    <row r="97" spans="1:9" x14ac:dyDescent="0.35">
      <c r="A97" t="s">
        <v>742</v>
      </c>
      <c r="B97" t="s">
        <v>601</v>
      </c>
      <c r="C97" t="s">
        <v>160</v>
      </c>
      <c r="D97" t="s">
        <v>493</v>
      </c>
      <c r="E97" t="s">
        <v>493</v>
      </c>
      <c r="F97">
        <v>240.39500000000001</v>
      </c>
      <c r="G97" t="s">
        <v>751</v>
      </c>
      <c r="H97" s="13">
        <f t="shared" si="6"/>
        <v>0.12664106047763216</v>
      </c>
      <c r="I97" s="14">
        <f t="shared" si="7"/>
        <v>164.6333786209218</v>
      </c>
    </row>
    <row r="98" spans="1:9" x14ac:dyDescent="0.35">
      <c r="A98" t="s">
        <v>742</v>
      </c>
      <c r="B98" t="s">
        <v>601</v>
      </c>
      <c r="C98" t="s">
        <v>224</v>
      </c>
      <c r="D98" t="s">
        <v>684</v>
      </c>
      <c r="E98" t="s">
        <v>493</v>
      </c>
      <c r="F98">
        <v>240.39500000000001</v>
      </c>
      <c r="G98" t="s">
        <v>751</v>
      </c>
      <c r="H98" s="13">
        <f t="shared" si="6"/>
        <v>0.12664106047763216</v>
      </c>
      <c r="I98" s="14">
        <f t="shared" si="7"/>
        <v>164.6333786209218</v>
      </c>
    </row>
    <row r="99" spans="1:9" x14ac:dyDescent="0.35">
      <c r="A99" t="s">
        <v>742</v>
      </c>
      <c r="B99" t="s">
        <v>601</v>
      </c>
      <c r="C99" t="s">
        <v>156</v>
      </c>
      <c r="D99" t="s">
        <v>677</v>
      </c>
      <c r="E99" t="s">
        <v>73</v>
      </c>
      <c r="F99">
        <v>90.718000000000004</v>
      </c>
      <c r="G99" t="s">
        <v>751</v>
      </c>
      <c r="H99" s="13">
        <f t="shared" si="6"/>
        <v>4.7790610139186902E-2</v>
      </c>
      <c r="I99" s="14">
        <f t="shared" si="7"/>
        <v>62.127793180942973</v>
      </c>
    </row>
    <row r="100" spans="1:9" x14ac:dyDescent="0.35">
      <c r="A100" t="s">
        <v>742</v>
      </c>
      <c r="B100" t="s">
        <v>601</v>
      </c>
      <c r="C100" t="s">
        <v>153</v>
      </c>
      <c r="D100" t="s">
        <v>73</v>
      </c>
      <c r="E100" t="s">
        <v>73</v>
      </c>
      <c r="F100">
        <v>90.718000000000004</v>
      </c>
      <c r="G100" t="s">
        <v>751</v>
      </c>
      <c r="H100" s="13">
        <f t="shared" si="6"/>
        <v>4.7790610139186902E-2</v>
      </c>
      <c r="I100" s="14">
        <f t="shared" si="7"/>
        <v>62.127793180942973</v>
      </c>
    </row>
    <row r="101" spans="1:9" x14ac:dyDescent="0.35">
      <c r="A101" t="s">
        <v>742</v>
      </c>
      <c r="B101" t="s">
        <v>601</v>
      </c>
      <c r="C101" t="s">
        <v>153</v>
      </c>
      <c r="D101" t="s">
        <v>493</v>
      </c>
      <c r="E101" t="s">
        <v>493</v>
      </c>
      <c r="F101">
        <v>240.39500000000001</v>
      </c>
      <c r="G101" t="s">
        <v>751</v>
      </c>
      <c r="H101" s="13">
        <f t="shared" si="6"/>
        <v>0.12664106047763216</v>
      </c>
      <c r="I101" s="14">
        <f t="shared" si="7"/>
        <v>164.6333786209218</v>
      </c>
    </row>
    <row r="102" spans="1:9" x14ac:dyDescent="0.35">
      <c r="A102" t="s">
        <v>743</v>
      </c>
      <c r="B102" t="s">
        <v>703</v>
      </c>
      <c r="C102" t="s">
        <v>716</v>
      </c>
      <c r="D102" t="s">
        <v>714</v>
      </c>
      <c r="E102" t="s">
        <v>73</v>
      </c>
      <c r="F102">
        <v>1000</v>
      </c>
      <c r="G102" t="s">
        <v>751</v>
      </c>
      <c r="H102" s="13">
        <f t="shared" si="6"/>
        <v>0.11828160484481454</v>
      </c>
      <c r="I102" s="14">
        <f t="shared" si="7"/>
        <v>153.7660862982589</v>
      </c>
    </row>
    <row r="103" spans="1:9" x14ac:dyDescent="0.35">
      <c r="A103" t="s">
        <v>743</v>
      </c>
      <c r="B103" t="s">
        <v>703</v>
      </c>
      <c r="C103" t="s">
        <v>726</v>
      </c>
      <c r="D103" t="s">
        <v>729</v>
      </c>
      <c r="E103" t="s">
        <v>162</v>
      </c>
      <c r="F103">
        <v>1863.6</v>
      </c>
      <c r="G103" t="str">
        <f>+VLOOKUP(C103,[1]Sheet1!$B:$C,2,0)</f>
        <v>M23</v>
      </c>
      <c r="H103" s="13">
        <f t="shared" si="6"/>
        <v>0.22042959878879637</v>
      </c>
      <c r="I103" s="14">
        <f t="shared" si="7"/>
        <v>286.55847842543528</v>
      </c>
    </row>
    <row r="104" spans="1:9" x14ac:dyDescent="0.35">
      <c r="A104" t="s">
        <v>743</v>
      </c>
      <c r="B104" t="s">
        <v>703</v>
      </c>
      <c r="C104" t="s">
        <v>160</v>
      </c>
      <c r="D104" t="s">
        <v>162</v>
      </c>
      <c r="E104" t="s">
        <v>162</v>
      </c>
      <c r="F104">
        <v>1863.6</v>
      </c>
      <c r="G104" t="s">
        <v>751</v>
      </c>
      <c r="H104" s="13">
        <f t="shared" si="6"/>
        <v>0.22042959878879637</v>
      </c>
      <c r="I104" s="14">
        <f t="shared" si="7"/>
        <v>286.55847842543528</v>
      </c>
    </row>
    <row r="105" spans="1:9" x14ac:dyDescent="0.35">
      <c r="A105" t="s">
        <v>743</v>
      </c>
      <c r="B105" t="s">
        <v>703</v>
      </c>
      <c r="C105" t="s">
        <v>224</v>
      </c>
      <c r="D105" t="s">
        <v>732</v>
      </c>
      <c r="E105" t="s">
        <v>162</v>
      </c>
      <c r="F105">
        <v>1863.6</v>
      </c>
      <c r="G105" t="s">
        <v>751</v>
      </c>
      <c r="H105" s="13">
        <f t="shared" si="6"/>
        <v>0.22042959878879637</v>
      </c>
      <c r="I105" s="14">
        <f t="shared" si="7"/>
        <v>286.55847842543528</v>
      </c>
    </row>
    <row r="106" spans="1:9" x14ac:dyDescent="0.35">
      <c r="A106" t="s">
        <v>743</v>
      </c>
      <c r="B106" t="s">
        <v>703</v>
      </c>
      <c r="C106" t="s">
        <v>153</v>
      </c>
      <c r="D106" t="s">
        <v>162</v>
      </c>
      <c r="E106" t="s">
        <v>162</v>
      </c>
      <c r="F106">
        <v>1863.6</v>
      </c>
      <c r="G106" t="s">
        <v>751</v>
      </c>
      <c r="H106" s="13">
        <f t="shared" si="6"/>
        <v>0.22042959878879637</v>
      </c>
      <c r="I106" s="14">
        <f t="shared" si="7"/>
        <v>286.55847842543528</v>
      </c>
    </row>
    <row r="107" spans="1:9" x14ac:dyDescent="0.35">
      <c r="A107" t="s">
        <v>744</v>
      </c>
      <c r="H107" s="13"/>
      <c r="I107" s="14"/>
    </row>
  </sheetData>
  <autoFilter ref="A3:I107" xr:uid="{D94A1022-97F1-420D-91DD-71FFE3FC11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VAO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Magnolia Valle</dc:creator>
  <cp:lastModifiedBy>Karime Rivas</cp:lastModifiedBy>
  <dcterms:created xsi:type="dcterms:W3CDTF">2026-04-27T18:16:13Z</dcterms:created>
  <dcterms:modified xsi:type="dcterms:W3CDTF">2026-04-28T19:27:07Z</dcterms:modified>
</cp:coreProperties>
</file>